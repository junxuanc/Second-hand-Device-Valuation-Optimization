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547e998e6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Summary" sheetId="1" r:id="Rf2792fe1ad644917"/>
    <x:sheet xmlns:r="http://schemas.openxmlformats.org/officeDocument/2006/relationships" name="Review Coding" sheetId="2" r:id="Rbcebba2bdcc245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Calibri"/>
    </x:font>
    <x:font>
      <x:b/>
      <x:sz val="18"/>
      <x:color rgb="FFFFFFFF"/>
      <x:name val="Carlito"/>
    </x:font>
    <x:font>
      <x:b/>
      <x:sz val="18"/>
      <x:color rgb="FFFFFFFF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74A3B"/>
      </x:patternFill>
    </x:fill>
    <x:fill>
      <x:patternFill patternType="solid">
        <x:fgColor rgb="FFE5F1EA"/>
      </x:patternFill>
    </x:fill>
    <x:fill>
      <x:patternFill patternType="solid">
        <x:fgColor rgb="FFF1F6F3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c8cbb19e8464f" /><Relationship Type="http://schemas.openxmlformats.org/officeDocument/2006/relationships/theme" Target="/xl/theme/theme1.xml" Id="R2801f14d9a0546fd" /><Relationship Type="http://schemas.openxmlformats.org/officeDocument/2006/relationships/sharedStrings" Target="/xl/sharedStrings.xml" Id="R1e1f5459addf4af5" /><Relationship Type="http://schemas.openxmlformats.org/officeDocument/2006/relationships/worksheet" Target="/xl/worksheets/sheet1.xml" Id="Rf2792fe1ad644917" /><Relationship Type="http://schemas.openxmlformats.org/officeDocument/2006/relationships/worksheet" Target="/xl/worksheets/sheet2.xml" Id="Rbcebba2bdcc245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4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7" t="str">
        <x:v>Public Feedback Sample and Coding Summary</x:v>
      </x:c>
      <x:c r="B1" s="7"/>
      <x:c r="C1" s="7"/>
      <x:c r="D1" s="7"/>
      <x:c r="E1" s="7"/>
      <x:c r="F1" s="7"/>
      <x:c r="G1" s="7"/>
      <x:c r="H1" s="7"/>
    </x:row>
    <x:row r="2" ht="28" customHeight="1">
      <x:c r="A2" s="8" t="str">
        <x:v>Public Feedback Sample and Coding Summary</x:v>
      </x:c>
      <x:c r="B2" s="8"/>
      <x:c r="C2" s="8"/>
      <x:c r="D2" s="8"/>
      <x:c r="E2" s="8"/>
      <x:c r="F2" s="7"/>
      <x:c r="G2" s="7"/>
      <x:c r="H2" s="7"/>
    </x:row>
    <x:row r="3" ht="60" customHeight="1">
      <x:c r="A3" s="4" t="str">
        <x:v>Huishoubao is the primary sample; Aihuishou and Zhuanzhuan are comparators. Entries summarize public user accounts or experience articles and do not represent all platform users.</x:v>
      </x:c>
      <x:c r="B3" s="4"/>
      <x:c r="C3" s="4"/>
      <x:c r="D3" s="4"/>
      <x:c r="E3" s="4"/>
    </x:row>
    <x:row r="4">
      <x:c r="A4" s="4"/>
      <x:c r="B4" s="4"/>
      <x:c r="C4" s="4"/>
      <x:c r="D4" s="4"/>
      <x:c r="E4" s="4"/>
    </x:row>
    <x:row r="5" ht="38" customHeight="1">
      <x:c r="A5" s="9" t="str">
        <x:v>Sample metric</x:v>
      </x:c>
      <x:c r="B5" s="9" t="str">
        <x:v>Count</x:v>
      </x:c>
      <x:c r="C5" s="4"/>
      <x:c r="D5" s="9" t="str">
        <x:v>Main topic</x:v>
      </x:c>
      <x:c r="E5" s="9" t="str">
        <x:v>Sample count</x:v>
      </x:c>
    </x:row>
    <x:row r="6" ht="38" customHeight="1">
      <x:c r="A6" s="4" t="str">
        <x:v>All entries</x:v>
      </x:c>
      <x:c r="B6" s="4" t="n">
        <x:f>COUNTA('Review Coding'!A2:A61)</x:f>
        <x:v>60</x:v>
      </x:c>
      <x:c r="C6" s="4"/>
      <x:c r="D6" s="4" t="str">
        <x:v>Difficulty verifying inspection discrepancies</x:v>
      </x:c>
      <x:c r="E6" s="4" t="n">
        <x:f>COUNTIF('Review Coding'!H2:H61,D6)</x:f>
        <x:v>25</x:v>
      </x:c>
    </x:row>
    <x:row r="7" ht="38" customHeight="1">
      <x:c r="A7" s="4" t="str">
        <x:v>Huishoubao</x:v>
      </x:c>
      <x:c r="B7" s="4" t="n">
        <x:f>COUNTIF('Review Coding'!B2:B61,A7)</x:f>
        <x:v>40</x:v>
      </x:c>
      <x:c r="C7" s="4"/>
      <x:c r="D7" s="4" t="str">
        <x:v>Price expectation gap</x:v>
      </x:c>
      <x:c r="E7" s="4" t="n">
        <x:f>COUNTIF('Review Coding'!H2:H61,D7)</x:f>
        <x:v>10</x:v>
      </x:c>
    </x:row>
    <x:row r="8" ht="38" customHeight="1">
      <x:c r="A8" s="4" t="str">
        <x:v>Aihuishou</x:v>
      </x:c>
      <x:c r="B8" s="4" t="n">
        <x:f>COUNTIF('Review Coding'!B2:B61,A8)</x:f>
        <x:v>10</x:v>
      </x:c>
      <x:c r="C8" s="4"/>
      <x:c r="D8" s="4" t="str">
        <x:v>Insufficient explanation of price changes</x:v>
      </x:c>
      <x:c r="E8" s="4" t="n">
        <x:f>COUNTIF('Review Coding'!H2:H61,D8)</x:f>
        <x:v>7</x:v>
      </x:c>
    </x:row>
    <x:row r="9" ht="38" customHeight="1">
      <x:c r="A9" s="4" t="str">
        <x:v>Zhuanzhuan</x:v>
      </x:c>
      <x:c r="B9" s="4" t="n">
        <x:f>COUNTIF('Review Coding'!B2:B61,A9)</x:f>
        <x:v>10</x:v>
      </x:c>
      <x:c r="C9" s="4"/>
      <x:c r="D9" s="4" t="str">
        <x:v>Inconsistent inspection standards</x:v>
      </x:c>
      <x:c r="E9" s="4" t="n">
        <x:f>COUNTIF('Review Coding'!H2:H61,D9)</x:f>
        <x:v>7</x:v>
      </x:c>
    </x:row>
    <x:row r="10" ht="38" customHeight="1">
      <x:c r="A10" s="4"/>
      <x:c r="B10" s="4"/>
      <x:c r="C10" s="4"/>
      <x:c r="D10" s="4" t="str">
        <x:v>Difficulty assessing condition</x:v>
      </x:c>
      <x:c r="E10" s="4" t="n">
        <x:f>COUNTIF('Review Coding'!H2:H61,D10)</x:f>
        <x:v>2</x:v>
      </x:c>
    </x:row>
    <x:row r="11" ht="38" customHeight="1">
      <x:c r="A11" s="4"/>
      <x:c r="B11" s="4"/>
      <x:c r="C11" s="4"/>
      <x:c r="D11" s="4" t="str">
        <x:v>Limited process transparency</x:v>
      </x:c>
      <x:c r="E11" s="4" t="n">
        <x:f>COUNTIF('Review Coding'!H2:H61,D11)</x:f>
        <x:v>2</x:v>
      </x:c>
    </x:row>
    <x:row r="12">
      <x:c r="A12" s="4" t="str">
        <x:v>Usage Notes and Limitations</x:v>
      </x:c>
      <x:c r="B12" s="4"/>
      <x:c r="C12" s="4"/>
      <x:c r="D12" s="4"/>
      <x:c r="E12" s="4"/>
    </x:row>
    <x:row r="13">
      <x:c r="A13" s="4" t="str">
        <x:v>The source workbook states that links were checked on 2026-10-10. Complaint pages may subsequently be removed; retain screenshots as research records.</x:v>
      </x:c>
      <x:c r="B13" s="4"/>
      <x:c r="C13" s="4"/>
      <x:c r="D13" s="4"/>
      <x:c r="E13" s="4"/>
    </x:row>
    <x:row r="15" ht="28" customHeight="1"/>
    <x:row r="16" ht="28" customHeight="1"/>
    <x:row r="17" ht="28" customHeight="1"/>
  </x:sheetData>
  <x:mergeCells>
    <x:mergeCell ref="A1:H2"/>
    <x:mergeCell ref="A3:H3"/>
    <x:mergeCell ref="A12:H12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7" hidden="0" customWidth="1"/>
    <x:col min="3" max="3" width="27" hidden="0" customWidth="1"/>
    <x:col min="4" max="4" width="27" hidden="0" customWidth="1"/>
    <x:col min="5" max="5" width="85" hidden="0" customWidth="1"/>
    <x:col min="6" max="6" width="26" hidden="0" customWidth="1"/>
    <x:col min="7" max="7" width="13" hidden="0" customWidth="1"/>
    <x:col min="8" max="8" width="45" hidden="0" customWidth="1"/>
    <x:col min="9" max="9" width="45" hidden="0" customWidth="1"/>
    <x:col min="10" max="10" width="65" hidden="0" customWidth="1"/>
    <x:col min="11" max="11" width="65" hidden="0" customWidth="1"/>
  </x:cols>
  <x:sheetData>
    <x:row r="1" ht="36" customHeight="1">
      <x:c r="A1" s="10" t="str">
        <x:v>ID</x:v>
      </x:c>
      <x:c r="B1" s="10" t="str">
        <x:v>Platform</x:v>
      </x:c>
      <x:c r="C1" s="10" t="str">
        <x:v>Source channel</x:v>
      </x:c>
      <x:c r="D1" s="10" t="str">
        <x:v>Publication date</x:v>
      </x:c>
      <x:c r="E1" s="10" t="str">
        <x:v>Comment or summary</x:v>
      </x:c>
      <x:c r="F1" s="10" t="str">
        <x:v>Transaction stage</x:v>
      </x:c>
      <x:c r="G1" s="10" t="str">
        <x:v>Sentiment</x:v>
      </x:c>
      <x:c r="H1" s="10" t="str">
        <x:v>Topic code</x:v>
      </x:c>
      <x:c r="I1" s="10" t="str">
        <x:v>User behavior or impact</x:v>
      </x:c>
      <x:c r="J1" s="10" t="str">
        <x:v>Source URL</x:v>
      </x:c>
      <x:c r="K1" s="10" t="str">
        <x:v>Evidence notes</x:v>
      </x:c>
    </x:row>
    <x:row r="2" ht="88" customHeight="1">
      <x:c r="A2" s="11" t="str">
        <x:v>R001</x:v>
      </x:c>
      <x:c r="B2" s="11" t="str">
        <x:v>Huishoubao</x:v>
      </x:c>
      <x:c r="C2" s="11" t="str">
        <x:v>Black Cat Complaints</x:v>
      </x:c>
      <x:c r="D2" s="11" t="str">
        <x:v>2026-05-31</x:v>
      </x:c>
      <x:c r="E2" s="11" t="str">
        <x:v>The user reported that an at-home inspection reduced the offer for deformation, scratches, color differences, and dead pixels without corresponding photos or video, and disputed the findings.</x:v>
      </x:c>
      <x:c r="F2" s="11" t="str">
        <x:v>At-home inspection</x:v>
      </x:c>
      <x:c r="G2" s="11" t="str">
        <x:v>Negative</x:v>
      </x:c>
      <x:c r="H2" s="11" t="str">
        <x:v>Difficulty verifying inspection discrepancies</x:v>
      </x:c>
      <x:c r="I2" s="11" t="str">
        <x:v>Disputed findings and requested explanation</x:v>
      </x:c>
      <x:c r="J2" s="11" t="e">
        <x:f>HYPERLINK("https://tousu.sina.com.cn/complaint/view/17397999429?sld=d403d537afbf6cfb177769b9123e1288","https://tousu.sina.com.cn/complaint/view/17397999429?sld=d403d537afbf6cfb177769b9123e1288")</x:f>
        <x:v>HYPERLINK is not implemented. linkLocation=https://tousu.sina.com.cn/complaint/view/17397999429?sld=d403d537afbf6cfb177769b9123e1288, friendlyName=https://tousu.sina.com.cn/complaint/view/17397999429?sld=d403d537afbf6cfb177769b9123e1288</x:v>
      </x:c>
      <x:c r="K2" s="11" t="str">
        <x:v>Complainant account; not independently verified. Source workbook records link check on 2026-10-10.</x:v>
      </x:c>
    </x:row>
    <x:row r="3" ht="88" customHeight="1">
      <x:c r="A3" s="4" t="str">
        <x:v>R002</x:v>
      </x:c>
      <x:c r="B3" s="4" t="str">
        <x:v>Huishoubao</x:v>
      </x:c>
      <x:c r="C3" s="4" t="str">
        <x:v>Black Cat Complaints</x:v>
      </x:c>
      <x:c r="D3" s="4" t="str">
        <x:v>2026-09-24</x:v>
      </x:c>
      <x:c r="E3" s="4" t="str">
        <x:v>An at-home inspection identified bright pixels; the final payout was RMB3,300. Simulating the same defects later produced an estimate of RMB4,100, leading the user to question the unexplained deductions.</x:v>
      </x:c>
      <x:c r="F3" s="4" t="str">
        <x:v>Final offer</x:v>
      </x:c>
      <x:c r="G3" s="4" t="str">
        <x:v>Negative</x:v>
      </x:c>
      <x:c r="H3" s="4" t="str">
        <x:v>Insufficient explanation of price changes</x:v>
      </x:c>
      <x:c r="I3" s="4" t="str">
        <x:v>Complained after sale and requested compensation</x:v>
      </x:c>
      <x:c r="J3" s="4" t="e">
        <x:f>HYPERLINK("https://tousu.sina.com.cn/complaint/view/17401820288?sld=363b247040ed0f1a6d985fbed9a910ce","https://tousu.sina.com.cn/complaint/view/17401820288?sld=363b247040ed0f1a6d985fbed9a910ce")</x:f>
        <x:v>HYPERLINK is not implemented. linkLocation=https://tousu.sina.com.cn/complaint/view/17401820288?sld=363b247040ed0f1a6d985fbed9a910ce, friendlyName=https://tousu.sina.com.cn/complaint/view/17401820288?sld=363b247040ed0f1a6d985fbed9a910ce</x:v>
      </x:c>
      <x:c r="K3" s="4" t="str">
        <x:v>Complainant account; not independently verified</x:v>
      </x:c>
    </x:row>
    <x:row r="4" ht="88" customHeight="1">
      <x:c r="A4" s="11" t="str">
        <x:v>R003</x:v>
      </x:c>
      <x:c r="B4" s="11" t="str">
        <x:v>Huishoubao</x:v>
      </x:c>
      <x:c r="C4" s="11" t="str">
        <x:v>Black Cat Complaints</x:v>
      </x:c>
      <x:c r="D4" s="11" t="str">
        <x:v>2024-05-16</x:v>
      </x:c>
      <x:c r="E4" s="11" t="str">
        <x:v>The estimate was RMB3,841 and the inspected offer RMB3,087. The user disputed differences from a pre-shipping video and remained dissatisfied even after an increased offer.</x:v>
      </x:c>
      <x:c r="F4" s="11" t="str">
        <x:v>Post-inspection offer</x:v>
      </x:c>
      <x:c r="G4" s="11" t="str">
        <x:v>Negative</x:v>
      </x:c>
      <x:c r="H4" s="11" t="str">
        <x:v>Difficulty verifying inspection discrepancies</x:v>
      </x:c>
      <x:c r="I4" s="11" t="str">
        <x:v>Reluctantly completed sale, then complained</x:v>
      </x:c>
      <x:c r="J4" s="11" t="e">
        <x:f>HYPERLINK("https://tousu.sina.com.cn/complaint/view/17373189555/","https://tousu.sina.com.cn/complaint/view/17373189555/")</x:f>
        <x:v>HYPERLINK is not implemented. linkLocation=https://tousu.sina.com.cn/complaint/view/17373189555/, friendlyName=https://tousu.sina.com.cn/complaint/view/17373189555/</x:v>
      </x:c>
      <x:c r="K4" s="11" t="str">
        <x:v>Complainant account; not independently verified</x:v>
      </x:c>
    </x:row>
    <x:row r="5" ht="88" customHeight="1">
      <x:c r="A5" s="4" t="str">
        <x:v>R004</x:v>
      </x:c>
      <x:c r="B5" s="4" t="str">
        <x:v>Huishoubao</x:v>
      </x:c>
      <x:c r="C5" s="4" t="str">
        <x:v>Baidu Tieba</x:v>
      </x:c>
      <x:c r="D5" s="4" t="str">
        <x:v>2023-04-23</x:v>
      </x:c>
      <x:c r="E5" s="4" t="str">
        <x:v>The user reported an estimate of RMB2,200 and an inspected offer of RMB1,600. Photos did not clearly show the alleged scratches. They accepted a later increase to avoid the inconvenience of return shipping.</x:v>
      </x:c>
      <x:c r="F5" s="4" t="str">
        <x:v>Post-inspection offer</x:v>
      </x:c>
      <x:c r="G5" s="4" t="str">
        <x:v>Negative</x:v>
      </x:c>
      <x:c r="H5" s="4" t="str">
        <x:v>Difficulty verifying inspection discrepancies</x:v>
      </x:c>
      <x:c r="I5" s="4" t="str">
        <x:v>Accepted increased offer but would not use again</x:v>
      </x:c>
      <x:c r="J5" s="4" t="e">
        <x:f>HYPERLINK("https://tieba.baidu.com/p/8376839912","https://tieba.baidu.com/p/8376839912")</x:f>
        <x:v>HYPERLINK is not implemented. linkLocation=https://tieba.baidu.com/p/8376839912, friendlyName=https://tieba.baidu.com/p/8376839912</x:v>
      </x:c>
      <x:c r="K5" s="4" t="str">
        <x:v>Public post; not independently verified</x:v>
      </x:c>
    </x:row>
    <x:row r="6" ht="88" customHeight="1">
      <x:c r="A6" s="11" t="str">
        <x:v>R005</x:v>
      </x:c>
      <x:c r="B6" s="11" t="str">
        <x:v>Huishoubao</x:v>
      </x:c>
      <x:c r="C6" s="11" t="str">
        <x:v>Zhihu</x:v>
      </x:c>
      <x:c r="D6" s="11" t="str">
        <x:v>2021 (page publication date)</x:v>
      </x:c>
      <x:c r="E6" s="11" t="str">
        <x:v>The user chose a higher online estimate after comparing platforms and used advance payment based on credit eligibility followed by mail-in inspection.</x:v>
      </x:c>
      <x:c r="F6" s="11" t="str">
        <x:v>Platform selection</x:v>
      </x:c>
      <x:c r="G6" s="11" t="str">
        <x:v>Neutral</x:v>
      </x:c>
      <x:c r="H6" s="11" t="str">
        <x:v>Price expectations</x:v>
      </x:c>
      <x:c r="I6" s="11" t="str">
        <x:v>Selected platform for its higher estimate</x:v>
      </x:c>
      <x:c r="J6" s="11" t="e">
        <x:f>HYPERLINK("https://zhuanlan.zhihu.com/p/270998945","https://zhuanlan.zhihu.com/p/270998945")</x:f>
        <x:v>HYPERLINK is not implemented. linkLocation=https://zhuanlan.zhihu.com/p/270998945, friendlyName=https://zhuanlan.zhihu.com/p/270998945</x:v>
      </x:c>
      <x:c r="K6" s="11" t="str">
        <x:v>Public experience article; page may include subsequent disputes</x:v>
      </x:c>
    </x:row>
    <x:row r="7" ht="88" customHeight="1">
      <x:c r="A7" s="4" t="str">
        <x:v>R006</x:v>
      </x:c>
      <x:c r="B7" s="4" t="str">
        <x:v>Huishoubao</x:v>
      </x:c>
      <x:c r="C7" s="4" t="str">
        <x:v>Black Cat Complaints</x:v>
      </x:c>
      <x:c r="D7" s="4" t="str">
        <x:v>2026-04 (approx.)</x:v>
      </x:c>
      <x:c r="E7" s="4" t="str">
        <x:v>The estimate was RMB2,687 and the inspected offer RMB2,280. The user considered the deductions insufficiently explained and requested complete inspection video and high-resolution defect photos.</x:v>
      </x:c>
      <x:c r="F7" s="4" t="str">
        <x:v>Post-inspection offer</x:v>
      </x:c>
      <x:c r="G7" s="4" t="str">
        <x:v>Negative</x:v>
      </x:c>
      <x:c r="H7" s="4" t="str">
        <x:v>Insufficient explanation of price changes</x:v>
      </x:c>
      <x:c r="I7" s="4" t="str">
        <x:v>Complained and requested evidence</x:v>
      </x:c>
      <x:c r="J7" s="4" t="e">
        <x:f>HYPERLINK("https://tousu.sina.com.cn/complaint/view/17394808905?sld=72bd5b141a8a7a94ce2d97a6b0a41a54","https://tousu.sina.com.cn/complaint/view/17394808905?sld=72bd5b141a8a7a94ce2d97a6b0a41a54")</x:f>
        <x:v>HYPERLINK is not implemented. linkLocation=https://tousu.sina.com.cn/complaint/view/17394808905?sld=72bd5b141a8a7a94ce2d97a6b0a41a54, friendlyName=https://tousu.sina.com.cn/complaint/view/17394808905?sld=72bd5b141a8a7a94ce2d97a6b0a41a54</x:v>
      </x:c>
      <x:c r="K7" s="4" t="str">
        <x:v>Complainant account; month inferred from relative time in search results</x:v>
      </x:c>
    </x:row>
    <x:row r="8" ht="88" customHeight="1">
      <x:c r="A8" s="11" t="str">
        <x:v>R007</x:v>
      </x:c>
      <x:c r="B8" s="11" t="str">
        <x:v>Huishoubao</x:v>
      </x:c>
      <x:c r="C8" s="11" t="str">
        <x:v>Black Cat Complaints</x:v>
      </x:c>
      <x:c r="D8" s="11" t="str">
        <x:v>2026-03-10</x:v>
      </x:c>
      <x:c r="E8" s="11" t="str">
        <x:v>The user stated the screen had no scratches or dead pixels before shipping, while the report listed several. They unsuccessfully requested a complete inspection video.</x:v>
      </x:c>
      <x:c r="F8" s="11" t="str">
        <x:v>Professional inspection</x:v>
      </x:c>
      <x:c r="G8" s="11" t="str">
        <x:v>Negative</x:v>
      </x:c>
      <x:c r="H8" s="11" t="str">
        <x:v>Difficulty verifying inspection discrepancies</x:v>
      </x:c>
      <x:c r="I8" s="11" t="str">
        <x:v>Complained and requested inspection video</x:v>
      </x:c>
      <x:c r="J8" s="11" t="e">
        <x:f>HYPERLINK("https://tousu.sina.com.cn/complaint/view/17394453485?sld=8c3cf431a188c2468dae5b48b5fd36bb","https://tousu.sina.com.cn/complaint/view/17394453485?sld=8c3cf431a188c2468dae5b48b5fd36bb")</x:f>
        <x:v>HYPERLINK is not implemented. linkLocation=https://tousu.sina.com.cn/complaint/view/17394453485?sld=8c3cf431a188c2468dae5b48b5fd36bb, friendlyName=https://tousu.sina.com.cn/complaint/view/17394453485?sld=8c3cf431a188c2468dae5b48b5fd36bb</x:v>
      </x:c>
      <x:c r="K8" s="11" t="str">
        <x:v>Complainant account; not independently verified</x:v>
      </x:c>
    </x:row>
    <x:row r="9" ht="88" customHeight="1">
      <x:c r="A9" s="4" t="str">
        <x:v>R008</x:v>
      </x:c>
      <x:c r="B9" s="4" t="str">
        <x:v>Huishoubao</x:v>
      </x:c>
      <x:c r="C9" s="4" t="str">
        <x:v>Black Cat Complaints</x:v>
      </x:c>
      <x:c r="D9" s="4" t="str">
        <x:v>2026-01-07</x:v>
      </x:c>
      <x:c r="E9" s="4" t="str">
        <x:v>The same phone received an at-home offer of RMB647 and a mail-in offer of RMB411 days later, with substantially different reports. The user requested the original price or full video.</x:v>
      </x:c>
      <x:c r="F9" s="4" t="str">
        <x:v>Professional inspection</x:v>
      </x:c>
      <x:c r="G9" s="4" t="str">
        <x:v>Negative</x:v>
      </x:c>
      <x:c r="H9" s="4" t="str">
        <x:v>Inconsistent inspection standards</x:v>
      </x:c>
      <x:c r="I9" s="4" t="str">
        <x:v>Rejected offer and complained</x:v>
      </x:c>
      <x:c r="J9" s="4" t="e">
        <x:f>HYPERLINK("https://tousu.sina.com.cn/complaint/view/17392353990?sld=94178fc905a014270d57aed612fd2057","https://tousu.sina.com.cn/complaint/view/17392353990?sld=94178fc905a014270d57aed612fd2057")</x:f>
        <x:v>HYPERLINK is not implemented. linkLocation=https://tousu.sina.com.cn/complaint/view/17392353990?sld=94178fc905a014270d57aed612fd2057, friendlyName=https://tousu.sina.com.cn/complaint/view/17392353990?sld=94178fc905a014270d57aed612fd2057</x:v>
      </x:c>
      <x:c r="K9" s="4" t="str">
        <x:v>Complainant account; not independently verified</x:v>
      </x:c>
    </x:row>
    <x:row r="10" ht="88" customHeight="1">
      <x:c r="A10" s="11" t="str">
        <x:v>R009</x:v>
      </x:c>
      <x:c r="B10" s="11" t="str">
        <x:v>Huishoubao</x:v>
      </x:c>
      <x:c r="C10" s="11" t="str">
        <x:v>Black Cat Complaints</x:v>
      </x:c>
      <x:c r="D10" s="11" t="str">
        <x:v>2025 (approx.)</x:v>
      </x:c>
      <x:c r="E10" s="11" t="str">
        <x:v>The estimate was RMB581 and the inspected offer RMB347. Without an unboxing/inspection video, the user could not verify whether faults existed beforehand or arose during inspection.</x:v>
      </x:c>
      <x:c r="F10" s="11" t="str">
        <x:v>Professional inspection</x:v>
      </x:c>
      <x:c r="G10" s="11" t="str">
        <x:v>Negative</x:v>
      </x:c>
      <x:c r="H10" s="11" t="str">
        <x:v>Difficulty verifying inspection discrepancies</x:v>
      </x:c>
      <x:c r="I10" s="11" t="str">
        <x:v>Disputed findings and complained</x:v>
      </x:c>
      <x:c r="J10" s="11" t="e">
        <x:f>HYPERLINK("https://tousu.sina.com.cn/complaint/view/17384540636?sld=385e79b5bcd641ad0a053b10b5f71ac6","https://tousu.sina.com.cn/complaint/view/17384540636?sld=385e79b5bcd641ad0a053b10b5f71ac6")</x:f>
        <x:v>HYPERLINK is not implemented. linkLocation=https://tousu.sina.com.cn/complaint/view/17384540636?sld=385e79b5bcd641ad0a053b10b5f71ac6, friendlyName=https://tousu.sina.com.cn/complaint/view/17384540636?sld=385e79b5bcd641ad0a053b10b5f71ac6</x:v>
      </x:c>
      <x:c r="K10" s="11" t="str">
        <x:v>Complainant account; date inferred from relative time on page</x:v>
      </x:c>
    </x:row>
    <x:row r="11" ht="88" customHeight="1">
      <x:c r="A11" s="4" t="str">
        <x:v>R010</x:v>
      </x:c>
      <x:c r="B11" s="4" t="str">
        <x:v>Huishoubao</x:v>
      </x:c>
      <x:c r="C11" s="4" t="str">
        <x:v>Black Cat Complaints</x:v>
      </x:c>
      <x:c r="D11" s="4" t="str">
        <x:v>2026-03-16</x:v>
      </x:c>
      <x:c r="E11" s="4" t="str">
        <x:v>An iPhone 13 was initially valued at RMB1,298. The user disputed prominent scratches in the report as inconsistent with the pre-shipping condition.</x:v>
      </x:c>
      <x:c r="F11" s="4" t="str">
        <x:v>Professional inspection</x:v>
      </x:c>
      <x:c r="G11" s="4" t="str">
        <x:v>Negative</x:v>
      </x:c>
      <x:c r="H11" s="4" t="str">
        <x:v>Difficulty verifying inspection discrepancies</x:v>
      </x:c>
      <x:c r="I11" s="4" t="str">
        <x:v>Requested the original estimated price</x:v>
      </x:c>
      <x:c r="J11" s="4" t="e">
        <x:f>HYPERLINK("https://tousu.sina.com.cn/complaint/view/17394757308?sld=fc79cac3330fb2fed647fe909f132201","https://tousu.sina.com.cn/complaint/view/17394757308?sld=fc79cac3330fb2fed647fe909f132201")</x:f>
        <x:v>HYPERLINK is not implemented. linkLocation=https://tousu.sina.com.cn/complaint/view/17394757308?sld=fc79cac3330fb2fed647fe909f132201, friendlyName=https://tousu.sina.com.cn/complaint/view/17394757308?sld=fc79cac3330fb2fed647fe909f132201</x:v>
      </x:c>
      <x:c r="K11" s="4" t="str">
        <x:v>Complainant account; not independently verified</x:v>
      </x:c>
    </x:row>
    <x:row r="12" ht="88" customHeight="1">
      <x:c r="A12" s="11" t="str">
        <x:v>R011</x:v>
      </x:c>
      <x:c r="B12" s="11" t="str">
        <x:v>Huishoubao</x:v>
      </x:c>
      <x:c r="C12" s="11" t="str">
        <x:v>Black Cat Complaints</x:v>
      </x:c>
      <x:c r="D12" s="11" t="str">
        <x:v>2025-11 (approx.)</x:v>
      </x:c>
      <x:c r="E12" s="11" t="str">
        <x:v>The offer fell after inspection because of visible wear. The user considered the distinction between minor and obvious wear unclear and requested the standards.</x:v>
      </x:c>
      <x:c r="F12" s="11" t="str">
        <x:v>Professional inspection</x:v>
      </x:c>
      <x:c r="G12" s="11" t="str">
        <x:v>Negative</x:v>
      </x:c>
      <x:c r="H12" s="11" t="str">
        <x:v>Difficulty assessing condition</x:v>
      </x:c>
      <x:c r="I12" s="11" t="str">
        <x:v>Complained and requested explanation</x:v>
      </x:c>
      <x:c r="J12" s="11" t="e">
        <x:f>HYPERLINK("https://tousu.sina.com.cn/complaint/view/17389685435?sld=eb1a385b2afe91e902f6bec0acb0bfeb","https://tousu.sina.com.cn/complaint/view/17389685435?sld=eb1a385b2afe91e902f6bec0acb0bfeb")</x:f>
        <x:v>HYPERLINK is not implemented. linkLocation=https://tousu.sina.com.cn/complaint/view/17389685435?sld=eb1a385b2afe91e902f6bec0acb0bfeb, friendlyName=https://tousu.sina.com.cn/complaint/view/17389685435?sld=eb1a385b2afe91e902f6bec0acb0bfeb</x:v>
      </x:c>
      <x:c r="K12" s="11" t="str">
        <x:v>Complainant account; month based on search results</x:v>
      </x:c>
    </x:row>
    <x:row r="13" ht="88" customHeight="1">
      <x:c r="A13" s="4" t="str">
        <x:v>R012</x:v>
      </x:c>
      <x:c r="B13" s="4" t="str">
        <x:v>Huishoubao</x:v>
      </x:c>
      <x:c r="C13" s="4" t="str">
        <x:v>Black Cat Complaints</x:v>
      </x:c>
      <x:c r="D13" s="4" t="str">
        <x:v>2026-06 (approx.)</x:v>
      </x:c>
      <x:c r="E13" s="4" t="str">
        <x:v>The user reported no scratches, repairs, or water damage before shipping. Inspection reduced the offer for cosmetic defects, but the close-up evidence was considered unclear.</x:v>
      </x:c>
      <x:c r="F13" s="4" t="str">
        <x:v>Professional inspection</x:v>
      </x:c>
      <x:c r="G13" s="4" t="str">
        <x:v>Negative</x:v>
      </x:c>
      <x:c r="H13" s="4" t="str">
        <x:v>Difficulty verifying inspection discrepancies</x:v>
      </x:c>
      <x:c r="I13" s="4" t="str">
        <x:v>Requested a reasonable offer</x:v>
      </x:c>
      <x:c r="J13" s="4" t="e">
        <x:f>HYPERLINK("https://tousu.sina.com.cn/complaint/view/17397880286?sld=342eab8663810ea2e187d19fa139f74c","https://tousu.sina.com.cn/complaint/view/17397880286?sld=342eab8663810ea2e187d19fa139f74c")</x:f>
        <x:v>HYPERLINK is not implemented. linkLocation=https://tousu.sina.com.cn/complaint/view/17397880286?sld=342eab8663810ea2e187d19fa139f74c, friendlyName=https://tousu.sina.com.cn/complaint/view/17397880286?sld=342eab8663810ea2e187d19fa139f74c</x:v>
      </x:c>
      <x:c r="K13" s="4" t="str">
        <x:v>Complainant account; month based on search results</x:v>
      </x:c>
    </x:row>
    <x:row r="14" ht="88" customHeight="1">
      <x:c r="A14" s="11" t="str">
        <x:v>R013</x:v>
      </x:c>
      <x:c r="B14" s="11" t="str">
        <x:v>Huishoubao</x:v>
      </x:c>
      <x:c r="C14" s="11" t="str">
        <x:v>Black Cat Complaints</x:v>
      </x:c>
      <x:c r="D14" s="11" t="str">
        <x:v>2025-11-14</x:v>
      </x:c>
      <x:c r="E14" s="11" t="str">
        <x:v>The user believed the screen was unscratched before shipping, whereas the report listed scratches; they requested inspection video.</x:v>
      </x:c>
      <x:c r="F14" s="11" t="str">
        <x:v>Professional inspection</x:v>
      </x:c>
      <x:c r="G14" s="11" t="str">
        <x:v>Negative</x:v>
      </x:c>
      <x:c r="H14" s="11" t="str">
        <x:v>Difficulty verifying inspection discrepancies</x:v>
      </x:c>
      <x:c r="I14" s="11" t="str">
        <x:v>Complained and requested video</x:v>
      </x:c>
      <x:c r="J14" s="11" t="e">
        <x:f>HYPERLINK("https://tousu.sina.com.cn/complaint/view/17390097614?sld=164f9ae3934e6bed4dd399987b947d97","https://tousu.sina.com.cn/complaint/view/17390097614?sld=164f9ae3934e6bed4dd399987b947d97")</x:f>
        <x:v>HYPERLINK is not implemented. linkLocation=https://tousu.sina.com.cn/complaint/view/17390097614?sld=164f9ae3934e6bed4dd399987b947d97, friendlyName=https://tousu.sina.com.cn/complaint/view/17390097614?sld=164f9ae3934e6bed4dd399987b947d97</x:v>
      </x:c>
      <x:c r="K14" s="11" t="str">
        <x:v>Complainant account; not independently verified</x:v>
      </x:c>
    </x:row>
    <x:row r="15" ht="88" customHeight="1">
      <x:c r="A15" s="4" t="str">
        <x:v>R014</x:v>
      </x:c>
      <x:c r="B15" s="4" t="str">
        <x:v>Huishoubao</x:v>
      </x:c>
      <x:c r="C15" s="4" t="str">
        <x:v>Black Cat Complaints</x:v>
      </x:c>
      <x:c r="D15" s="4" t="str">
        <x:v>2026-06 (approx.)</x:v>
      </x:c>
      <x:c r="E15" s="4" t="str">
        <x:v>An at-home inspection reduced the offer from RMB2,030 to RMB927 for issues difficult to see unaided. The user felt the prior trade-in pricing had created excessive expectations.</x:v>
      </x:c>
      <x:c r="F15" s="4" t="str">
        <x:v>At-home inspection</x:v>
      </x:c>
      <x:c r="G15" s="4" t="str">
        <x:v>Negative</x:v>
      </x:c>
      <x:c r="H15" s="4" t="str">
        <x:v>Price expectation gap</x:v>
      </x:c>
      <x:c r="I15" s="4" t="str">
        <x:v>Complained and requested promised promotion</x:v>
      </x:c>
      <x:c r="J15" s="4" t="e">
        <x:f>HYPERLINK("https://tousu.sina.com.cn/complaint/view/17398326102?sld=934ce91fe5b045cb06b4ae997d943508","https://tousu.sina.com.cn/complaint/view/17398326102?sld=934ce91fe5b045cb06b4ae997d943508")</x:f>
        <x:v>HYPERLINK is not implemented. linkLocation=https://tousu.sina.com.cn/complaint/view/17398326102?sld=934ce91fe5b045cb06b4ae997d943508, friendlyName=https://tousu.sina.com.cn/complaint/view/17398326102?sld=934ce91fe5b045cb06b4ae997d943508</x:v>
      </x:c>
      <x:c r="K15" s="4" t="str">
        <x:v>Complainant account; month based on search results</x:v>
      </x:c>
    </x:row>
    <x:row r="16" ht="88" customHeight="1">
      <x:c r="A16" s="11" t="str">
        <x:v>R015</x:v>
      </x:c>
      <x:c r="B16" s="11" t="str">
        <x:v>Huishoubao</x:v>
      </x:c>
      <x:c r="C16" s="11" t="str">
        <x:v>Black Cat Complaints</x:v>
      </x:c>
      <x:c r="D16" s="11" t="str">
        <x:v>2026-01-12</x:v>
      </x:c>
      <x:c r="E16" s="11" t="str">
        <x:v>An initial offer of RMB2,540 was reduced after receipt for newly reported scratches. The user also reported difficulty locating a clear after-sales complaint channel.</x:v>
      </x:c>
      <x:c r="F16" s="11" t="str">
        <x:v>Inspection and after-sales</x:v>
      </x:c>
      <x:c r="G16" s="11" t="str">
        <x:v>Negative</x:v>
      </x:c>
      <x:c r="H16" s="11" t="str">
        <x:v>Difficulty verifying inspection discrepancies</x:v>
      </x:c>
      <x:c r="I16" s="11" t="str">
        <x:v>Complained and sought after-sales support</x:v>
      </x:c>
      <x:c r="J16" s="11" t="e">
        <x:f>HYPERLINK("https://tousu.sina.com.cn/complaint/view/17393720534?sld=d63046debad3f23193167fb0869266aa","https://tousu.sina.com.cn/complaint/view/17393720534?sld=d63046debad3f23193167fb0869266aa")</x:f>
        <x:v>HYPERLINK is not implemented. linkLocation=https://tousu.sina.com.cn/complaint/view/17393720534?sld=d63046debad3f23193167fb0869266aa, friendlyName=https://tousu.sina.com.cn/complaint/view/17393720534?sld=d63046debad3f23193167fb0869266aa</x:v>
      </x:c>
      <x:c r="K16" s="11" t="str">
        <x:v>Complainant account; not independently verified</x:v>
      </x:c>
    </x:row>
    <x:row r="17" ht="88" customHeight="1">
      <x:c r="A17" s="4" t="str">
        <x:v>R016</x:v>
      </x:c>
      <x:c r="B17" s="4" t="str">
        <x:v>Huishoubao</x:v>
      </x:c>
      <x:c r="C17" s="4" t="str">
        <x:v>Black Cat Complaints</x:v>
      </x:c>
      <x:c r="D17" s="4" t="str">
        <x:v>2026-02 (approx.)</x:v>
      </x:c>
      <x:c r="E17" s="4" t="str">
        <x:v>The platform reduced the offer for dents. The user questioned inconsistencies between defect photos and the unboxing video and requested the full recording.</x:v>
      </x:c>
      <x:c r="F17" s="4" t="str">
        <x:v>Professional inspection</x:v>
      </x:c>
      <x:c r="G17" s="4" t="str">
        <x:v>Negative</x:v>
      </x:c>
      <x:c r="H17" s="4" t="str">
        <x:v>Difficulty verifying inspection discrepancies</x:v>
      </x:c>
      <x:c r="I17" s="4" t="str">
        <x:v>Requested refund, compensation, and explanation</x:v>
      </x:c>
      <x:c r="J17" s="4" t="e">
        <x:f>HYPERLINK("https://tousu.sina.com.cn/complaint/view/17393385747?sld=a34e5fb3b056468cb15230d9cfe3da55","https://tousu.sina.com.cn/complaint/view/17393385747?sld=a34e5fb3b056468cb15230d9cfe3da55")</x:f>
        <x:v>HYPERLINK is not implemented. linkLocation=https://tousu.sina.com.cn/complaint/view/17393385747?sld=a34e5fb3b056468cb15230d9cfe3da55, friendlyName=https://tousu.sina.com.cn/complaint/view/17393385747?sld=a34e5fb3b056468cb15230d9cfe3da55</x:v>
      </x:c>
      <x:c r="K17" s="4" t="str">
        <x:v>Complainant account; month based on search results</x:v>
      </x:c>
    </x:row>
    <x:row r="18" ht="88" customHeight="1">
      <x:c r="A18" s="11" t="str">
        <x:v>R017</x:v>
      </x:c>
      <x:c r="B18" s="11" t="str">
        <x:v>Huishoubao</x:v>
      </x:c>
      <x:c r="C18" s="11" t="str">
        <x:v>Black Cat Complaints</x:v>
      </x:c>
      <x:c r="D18" s="11" t="str">
        <x:v>2026-04 (approx.)</x:v>
      </x:c>
      <x:c r="E18" s="11" t="str">
        <x:v>After receipt, the offer fell to approximately half the estimate. The user disputed several findings and worried about losses if a disassembled device were returned.</x:v>
      </x:c>
      <x:c r="F18" s="11" t="str">
        <x:v>Post-inspection offer</x:v>
      </x:c>
      <x:c r="G18" s="11" t="str">
        <x:v>Negative</x:v>
      </x:c>
      <x:c r="H18" s="11" t="str">
        <x:v>Price expectation gap</x:v>
      </x:c>
      <x:c r="I18" s="11" t="str">
        <x:v>Requested compensation or return</x:v>
      </x:c>
      <x:c r="J18" s="11" t="e">
        <x:f>HYPERLINK("https://tousu.sina.com.cn/complaint/view/17395499291?sld=6b3ee7e23da43d3cedd6bad3617a865a","https://tousu.sina.com.cn/complaint/view/17395499291?sld=6b3ee7e23da43d3cedd6bad3617a865a")</x:f>
        <x:v>HYPERLINK is not implemented. linkLocation=https://tousu.sina.com.cn/complaint/view/17395499291?sld=6b3ee7e23da43d3cedd6bad3617a865a, friendlyName=https://tousu.sina.com.cn/complaint/view/17395499291?sld=6b3ee7e23da43d3cedd6bad3617a865a</x:v>
      </x:c>
      <x:c r="K18" s="11" t="str">
        <x:v>Complainant account; month based on search results</x:v>
      </x:c>
    </x:row>
    <x:row r="19" ht="88" customHeight="1">
      <x:c r="A19" s="4" t="str">
        <x:v>R018</x:v>
      </x:c>
      <x:c r="B19" s="4" t="str">
        <x:v>Huishoubao</x:v>
      </x:c>
      <x:c r="C19" s="4" t="str">
        <x:v>Black Cat Complaints</x:v>
      </x:c>
      <x:c r="D19" s="4" t="str">
        <x:v>2026-01</x:v>
      </x:c>
      <x:c r="E19" s="4" t="str">
        <x:v>The same phone received different cosmetic, screen, and pricing assessments during at-home and mail-in inspections; the user could not determine which report was accurate.</x:v>
      </x:c>
      <x:c r="F19" s="4" t="str">
        <x:v>Professional inspection</x:v>
      </x:c>
      <x:c r="G19" s="4" t="str">
        <x:v>Negative</x:v>
      </x:c>
      <x:c r="H19" s="4" t="str">
        <x:v>Inconsistent inspection standards</x:v>
      </x:c>
      <x:c r="I19" s="4" t="str">
        <x:v>Disputed findings and complained</x:v>
      </x:c>
      <x:c r="J19" s="4" t="e">
        <x:f>HYPERLINK("https://tousu.sina.com.cn/complaint/view/17392539063?sld=e3965e270a483c82ea0d011667303272","https://tousu.sina.com.cn/complaint/view/17392539063?sld=e3965e270a483c82ea0d011667303272")</x:f>
        <x:v>HYPERLINK is not implemented. linkLocation=https://tousu.sina.com.cn/complaint/view/17392539063?sld=e3965e270a483c82ea0d011667303272, friendlyName=https://tousu.sina.com.cn/complaint/view/17392539063?sld=e3965e270a483c82ea0d011667303272</x:v>
      </x:c>
      <x:c r="K19" s="4" t="str">
        <x:v>Complainant account; not independently verified</x:v>
      </x:c>
    </x:row>
    <x:row r="20" ht="88" customHeight="1">
      <x:c r="A20" s="11" t="str">
        <x:v>R019</x:v>
      </x:c>
      <x:c r="B20" s="11" t="str">
        <x:v>Huishoubao</x:v>
      </x:c>
      <x:c r="C20" s="11" t="str">
        <x:v>Black Cat Complaints</x:v>
      </x:c>
      <x:c r="D20" s="11" t="str">
        <x:v>2026-02-06</x:v>
      </x:c>
      <x:c r="E20" s="11" t="str">
        <x:v>The report listed obvious scratches, color differences, or dead pixels. The user said the supplied evidence could not be matched to the specific device issues.</x:v>
      </x:c>
      <x:c r="F20" s="11" t="str">
        <x:v>Professional inspection</x:v>
      </x:c>
      <x:c r="G20" s="11" t="str">
        <x:v>Negative</x:v>
      </x:c>
      <x:c r="H20" s="11" t="str">
        <x:v>Difficulty verifying inspection discrepancies</x:v>
      </x:c>
      <x:c r="I20" s="11" t="str">
        <x:v>Requested review and evidence</x:v>
      </x:c>
      <x:c r="J20" s="11" t="e">
        <x:f>HYPERLINK("https://tousu.sina.com.cn/complaint/view/17393529691?sld=4f50beabfcfab272401879208300bbd4","https://tousu.sina.com.cn/complaint/view/17393529691?sld=4f50beabfcfab272401879208300bbd4")</x:f>
        <x:v>HYPERLINK is not implemented. linkLocation=https://tousu.sina.com.cn/complaint/view/17393529691?sld=4f50beabfcfab272401879208300bbd4, friendlyName=https://tousu.sina.com.cn/complaint/view/17393529691?sld=4f50beabfcfab272401879208300bbd4</x:v>
      </x:c>
      <x:c r="K20" s="11" t="str">
        <x:v>Complainant account; not independently verified</x:v>
      </x:c>
    </x:row>
    <x:row r="21" ht="88" customHeight="1">
      <x:c r="A21" s="4" t="str">
        <x:v>R020</x:v>
      </x:c>
      <x:c r="B21" s="4" t="str">
        <x:v>Huishoubao</x:v>
      </x:c>
      <x:c r="C21" s="4" t="str">
        <x:v>Black Cat Complaints</x:v>
      </x:c>
      <x:c r="D21" s="4" t="str">
        <x:v>2026-05-26</x:v>
      </x:c>
      <x:c r="E21" s="4" t="str">
        <x:v>The user said they reported condition honestly, but battery-health bands differed across inspection information and affected the final offer.</x:v>
      </x:c>
      <x:c r="F21" s="4" t="str">
        <x:v>Professional inspection</x:v>
      </x:c>
      <x:c r="G21" s="4" t="str">
        <x:v>Negative</x:v>
      </x:c>
      <x:c r="H21" s="4" t="str">
        <x:v>Inconsistent inspection standards</x:v>
      </x:c>
      <x:c r="I21" s="4" t="str">
        <x:v>Complained and requested reconsideration</x:v>
      </x:c>
      <x:c r="J21" s="4" t="e">
        <x:f>HYPERLINK("https://tousu.sina.com.cn/complaint/view/17398015515?sld=fbd96342097f4eb60c9f3914a2ab7b4a","https://tousu.sina.com.cn/complaint/view/17398015515?sld=fbd96342097f4eb60c9f3914a2ab7b4a")</x:f>
        <x:v>HYPERLINK is not implemented. linkLocation=https://tousu.sina.com.cn/complaint/view/17398015515?sld=fbd96342097f4eb60c9f3914a2ab7b4a, friendlyName=https://tousu.sina.com.cn/complaint/view/17398015515?sld=fbd96342097f4eb60c9f3914a2ab7b4a</x:v>
      </x:c>
      <x:c r="K21" s="4" t="str">
        <x:v>Complainant account; not independently verified</x:v>
      </x:c>
    </x:row>
    <x:row r="22" ht="88" customHeight="1">
      <x:c r="A22" s="11" t="str">
        <x:v>R021</x:v>
      </x:c>
      <x:c r="B22" s="11" t="str">
        <x:v>Huishoubao</x:v>
      </x:c>
      <x:c r="C22" s="11" t="str">
        <x:v>Black Cat Complaints</x:v>
      </x:c>
      <x:c r="D22" s="11" t="str">
        <x:v>2025-02-22</x:v>
      </x:c>
      <x:c r="E22" s="11" t="str">
        <x:v>The user filmed the device before shipping; inspection listed scratches and white spots in camera images. They requested an undamaged return and clear pricing.</x:v>
      </x:c>
      <x:c r="F22" s="11" t="str">
        <x:v>Professional inspection</x:v>
      </x:c>
      <x:c r="G22" s="11" t="str">
        <x:v>Negative</x:v>
      </x:c>
      <x:c r="H22" s="11" t="str">
        <x:v>Difficulty verifying inspection discrepancies</x:v>
      </x:c>
      <x:c r="I22" s="11" t="str">
        <x:v>Requested return or reasonable pricing</x:v>
      </x:c>
      <x:c r="J22" s="11" t="e">
        <x:f>HYPERLINK("https://tousu.sina.com.cn/complaint/view/17380317015?sld=e43600d71f691d829f891eccf6f1b059","https://tousu.sina.com.cn/complaint/view/17380317015?sld=e43600d71f691d829f891eccf6f1b059")</x:f>
        <x:v>HYPERLINK is not implemented. linkLocation=https://tousu.sina.com.cn/complaint/view/17380317015?sld=e43600d71f691d829f891eccf6f1b059, friendlyName=https://tousu.sina.com.cn/complaint/view/17380317015?sld=e43600d71f691d829f891eccf6f1b059</x:v>
      </x:c>
      <x:c r="K22" s="11" t="str">
        <x:v>Complainant account; not independently verified</x:v>
      </x:c>
    </x:row>
    <x:row r="23" ht="88" customHeight="1">
      <x:c r="A23" s="4" t="str">
        <x:v>R022</x:v>
      </x:c>
      <x:c r="B23" s="4" t="str">
        <x:v>Huishoubao</x:v>
      </x:c>
      <x:c r="C23" s="4" t="str">
        <x:v>Black Cat Complaints</x:v>
      </x:c>
      <x:c r="D23" s="4" t="str">
        <x:v>2026-06-03</x:v>
      </x:c>
      <x:c r="E23" s="4" t="str">
        <x:v>Another platform’s offline offer was close to its estimate, but Huishoubao’s at-home offer was lower and also reduced the applicable subsidy tier.</x:v>
      </x:c>
      <x:c r="F23" s="4" t="str">
        <x:v>At-home inspection</x:v>
      </x:c>
      <x:c r="G23" s="4" t="str">
        <x:v>Negative</x:v>
      </x:c>
      <x:c r="H23" s="4" t="str">
        <x:v>Price expectation gap</x:v>
      </x:c>
      <x:c r="I23" s="4" t="str">
        <x:v>Requested original estimated price</x:v>
      </x:c>
      <x:c r="J23" s="4" t="e">
        <x:f>HYPERLINK("https://tousu.sina.com.cn/complaint/view/17398249309?sld=e56c10facdda8c8076ea8efd9d2e7228","https://tousu.sina.com.cn/complaint/view/17398249309?sld=e56c10facdda8c8076ea8efd9d2e7228")</x:f>
        <x:v>HYPERLINK is not implemented. linkLocation=https://tousu.sina.com.cn/complaint/view/17398249309?sld=e56c10facdda8c8076ea8efd9d2e7228, friendlyName=https://tousu.sina.com.cn/complaint/view/17398249309?sld=e56c10facdda8c8076ea8efd9d2e7228</x:v>
      </x:c>
      <x:c r="K23" s="4" t="str">
        <x:v>Complainant account; not independently verified</x:v>
      </x:c>
    </x:row>
    <x:row r="24" ht="88" customHeight="1">
      <x:c r="A24" s="11" t="str">
        <x:v>R023</x:v>
      </x:c>
      <x:c r="B24" s="11" t="str">
        <x:v>Huishoubao</x:v>
      </x:c>
      <x:c r="C24" s="11" t="str">
        <x:v>Black Cat Complaints</x:v>
      </x:c>
      <x:c r="D24" s="11" t="str">
        <x:v>2025 (approx.)</x:v>
      </x:c>
      <x:c r="E24" s="11" t="str">
        <x:v>The report listed obvious wear, screen repair, and motherboard water damage. The user questioned how repair and water damage were established without disassembly.</x:v>
      </x:c>
      <x:c r="F24" s="11" t="str">
        <x:v>Professional inspection</x:v>
      </x:c>
      <x:c r="G24" s="11" t="str">
        <x:v>Negative</x:v>
      </x:c>
      <x:c r="H24" s="11" t="str">
        <x:v>Insufficient explanation of price changes</x:v>
      </x:c>
      <x:c r="I24" s="11" t="str">
        <x:v>Questioned report and complained</x:v>
      </x:c>
      <x:c r="J24" s="11" t="e">
        <x:f>HYPERLINK("https://tousu.sina.com.cn/complaint/view/17382576618?sld=216af154909058d6e60e5b21cc0d1378","https://tousu.sina.com.cn/complaint/view/17382576618?sld=216af154909058d6e60e5b21cc0d1378")</x:f>
        <x:v>HYPERLINK is not implemented. linkLocation=https://tousu.sina.com.cn/complaint/view/17382576618?sld=216af154909058d6e60e5b21cc0d1378, friendlyName=https://tousu.sina.com.cn/complaint/view/17382576618?sld=216af154909058d6e60e5b21cc0d1378</x:v>
      </x:c>
      <x:c r="K24" s="11" t="str">
        <x:v>Complainant account; date inferred from relative time on page</x:v>
      </x:c>
    </x:row>
    <x:row r="25" ht="88" customHeight="1">
      <x:c r="A25" s="4" t="str">
        <x:v>R024</x:v>
      </x:c>
      <x:c r="B25" s="4" t="str">
        <x:v>Huishoubao</x:v>
      </x:c>
      <x:c r="C25" s="4" t="str">
        <x:v>Black Cat Complaints</x:v>
      </x:c>
      <x:c r="D25" s="4" t="str">
        <x:v>2025-02-11</x:v>
      </x:c>
      <x:c r="E25" s="4" t="str">
        <x:v>The user said pre-shipping photos showed an intact screen, while inspection reported scratches. Customer service suggested reinspection without explaining the discrepancy.</x:v>
      </x:c>
      <x:c r="F25" s="4" t="str">
        <x:v>Professional inspection</x:v>
      </x:c>
      <x:c r="G25" s="4" t="str">
        <x:v>Negative</x:v>
      </x:c>
      <x:c r="H25" s="4" t="str">
        <x:v>Difficulty verifying inspection discrepancies</x:v>
      </x:c>
      <x:c r="I25" s="4" t="str">
        <x:v>Requested reinspection and complained</x:v>
      </x:c>
      <x:c r="J25" s="4" t="e">
        <x:f>HYPERLINK("https://tousu.sina.com.cn/complaint/view/17379993492?sld=cdb3bc9c018486968dfbebf191db1061","https://tousu.sina.com.cn/complaint/view/17379993492?sld=cdb3bc9c018486968dfbebf191db1061")</x:f>
        <x:v>HYPERLINK is not implemented. linkLocation=https://tousu.sina.com.cn/complaint/view/17379993492?sld=cdb3bc9c018486968dfbebf191db1061, friendlyName=https://tousu.sina.com.cn/complaint/view/17379993492?sld=cdb3bc9c018486968dfbebf191db1061</x:v>
      </x:c>
      <x:c r="K25" s="4" t="str">
        <x:v>Complainant account; not independently verified</x:v>
      </x:c>
    </x:row>
    <x:row r="26" ht="88" customHeight="1">
      <x:c r="A26" s="11" t="str">
        <x:v>R025</x:v>
      </x:c>
      <x:c r="B26" s="11" t="str">
        <x:v>Huishoubao</x:v>
      </x:c>
      <x:c r="C26" s="11" t="str">
        <x:v>Black Cat Complaints</x:v>
      </x:c>
      <x:c r="D26" s="11" t="str">
        <x:v>2026-03 (approx.)</x:v>
      </x:c>
      <x:c r="E26" s="11" t="str">
        <x:v>The user believed the device was unscratched before shipping, but inspection marked two scratches, causing doubts about the process.</x:v>
      </x:c>
      <x:c r="F26" s="11" t="str">
        <x:v>Professional inspection</x:v>
      </x:c>
      <x:c r="G26" s="11" t="str">
        <x:v>Negative</x:v>
      </x:c>
      <x:c r="H26" s="11" t="str">
        <x:v>Difficulty verifying inspection discrepancies</x:v>
      </x:c>
      <x:c r="I26" s="11" t="str">
        <x:v>Complained and requested original price or evidence</x:v>
      </x:c>
      <x:c r="J26" s="11" t="e">
        <x:f>HYPERLINK("https://tousu.sina.com.cn/complaint/view/17394246040?sld=a2c39cc5bb2b51d17a36c2622aa5c1f3","https://tousu.sina.com.cn/complaint/view/17394246040?sld=a2c39cc5bb2b51d17a36c2622aa5c1f3")</x:f>
        <x:v>HYPERLINK is not implemented. linkLocation=https://tousu.sina.com.cn/complaint/view/17394246040?sld=a2c39cc5bb2b51d17a36c2622aa5c1f3, friendlyName=https://tousu.sina.com.cn/complaint/view/17394246040?sld=a2c39cc5bb2b51d17a36c2622aa5c1f3</x:v>
      </x:c>
      <x:c r="K26" s="11" t="str">
        <x:v>Complainant account; month based on search results</x:v>
      </x:c>
    </x:row>
    <x:row r="27" ht="88" customHeight="1">
      <x:c r="A27" s="4" t="str">
        <x:v>R026</x:v>
      </x:c>
      <x:c r="B27" s="4" t="str">
        <x:v>Huishoubao</x:v>
      </x:c>
      <x:c r="C27" s="4" t="str">
        <x:v>Black Cat Complaints</x:v>
      </x:c>
      <x:c r="D27" s="4" t="str">
        <x:v>2025-08-11</x:v>
      </x:c>
      <x:c r="E27" s="4" t="str">
        <x:v>The user recorded appearance and functionality before shipping, but inspection added camera spots and screen/frame scratches.</x:v>
      </x:c>
      <x:c r="F27" s="4" t="str">
        <x:v>Professional inspection</x:v>
      </x:c>
      <x:c r="G27" s="4" t="str">
        <x:v>Negative</x:v>
      </x:c>
      <x:c r="H27" s="4" t="str">
        <x:v>Difficulty verifying inspection discrepancies</x:v>
      </x:c>
      <x:c r="I27" s="4" t="str">
        <x:v>Complained and questioned report</x:v>
      </x:c>
      <x:c r="J27" s="4" t="e">
        <x:f>HYPERLINK("https://tousu.sina.com.cn/complaint/view/17386348478?sld=b5118856c35c65c32fd1458620668b5e","https://tousu.sina.com.cn/complaint/view/17386348478?sld=b5118856c35c65c32fd1458620668b5e")</x:f>
        <x:v>HYPERLINK is not implemented. linkLocation=https://tousu.sina.com.cn/complaint/view/17386348478?sld=b5118856c35c65c32fd1458620668b5e, friendlyName=https://tousu.sina.com.cn/complaint/view/17386348478?sld=b5118856c35c65c32fd1458620668b5e</x:v>
      </x:c>
      <x:c r="K27" s="4" t="str">
        <x:v>Complainant account; not independently verified</x:v>
      </x:c>
    </x:row>
    <x:row r="28" ht="88" customHeight="1">
      <x:c r="A28" s="11" t="str">
        <x:v>R027</x:v>
      </x:c>
      <x:c r="B28" s="11" t="str">
        <x:v>Huishoubao</x:v>
      </x:c>
      <x:c r="C28" s="11" t="str">
        <x:v>Black Cat Complaints</x:v>
      </x:c>
      <x:c r="D28" s="11" t="str">
        <x:v>2025-03-09</x:v>
      </x:c>
      <x:c r="E28" s="11" t="str">
        <x:v>The estimate was RMB1,361 and the inspected offer RMB784 for scratches and other issues. The user disputed the report because the phone had always had a screen protector.</x:v>
      </x:c>
      <x:c r="F28" s="11" t="str">
        <x:v>Post-inspection offer</x:v>
      </x:c>
      <x:c r="G28" s="11" t="str">
        <x:v>Negative</x:v>
      </x:c>
      <x:c r="H28" s="11" t="str">
        <x:v>Price expectation gap</x:v>
      </x:c>
      <x:c r="I28" s="11" t="str">
        <x:v>Requested repricing for actual condition</x:v>
      </x:c>
      <x:c r="J28" s="11" t="e">
        <x:f>HYPERLINK("https://tousu.sina.com.cn/complaint/view/17380725188?sld=dea4cccaa20f68c16c9997d10effc4d7","https://tousu.sina.com.cn/complaint/view/17380725188?sld=dea4cccaa20f68c16c9997d10effc4d7")</x:f>
        <x:v>HYPERLINK is not implemented. linkLocation=https://tousu.sina.com.cn/complaint/view/17380725188?sld=dea4cccaa20f68c16c9997d10effc4d7, friendlyName=https://tousu.sina.com.cn/complaint/view/17380725188?sld=dea4cccaa20f68c16c9997d10effc4d7</x:v>
      </x:c>
      <x:c r="K28" s="11" t="str">
        <x:v>Complainant account; not independently verified</x:v>
      </x:c>
    </x:row>
    <x:row r="29" ht="88" customHeight="1">
      <x:c r="A29" s="4" t="str">
        <x:v>R028</x:v>
      </x:c>
      <x:c r="B29" s="4" t="str">
        <x:v>Huishoubao</x:v>
      </x:c>
      <x:c r="C29" s="4" t="str">
        <x:v>Black Cat Complaints</x:v>
      </x:c>
      <x:c r="D29" s="4" t="str">
        <x:v>2026-04-22</x:v>
      </x:c>
      <x:c r="E29" s="4" t="str">
        <x:v>A nearly new device was downgraded for severe scratches. A later resale description called the scratches minor, leading the user to question inconsistent standards.</x:v>
      </x:c>
      <x:c r="F29" s="4" t="str">
        <x:v>Inspection and resale</x:v>
      </x:c>
      <x:c r="G29" s="4" t="str">
        <x:v>Negative</x:v>
      </x:c>
      <x:c r="H29" s="4" t="str">
        <x:v>Inconsistent inspection standards</x:v>
      </x:c>
      <x:c r="I29" s="4" t="str">
        <x:v>Requested compensation after sale</x:v>
      </x:c>
      <x:c r="J29" s="4" t="e">
        <x:f>HYPERLINK("https://tousu.sina.com.cn/complaint/view/17396524615?sld=1ab4e8d56100b8df4753d7f2dbb5c14f","https://tousu.sina.com.cn/complaint/view/17396524615?sld=1ab4e8d56100b8df4753d7f2dbb5c14f")</x:f>
        <x:v>HYPERLINK is not implemented. linkLocation=https://tousu.sina.com.cn/complaint/view/17396524615?sld=1ab4e8d56100b8df4753d7f2dbb5c14f, friendlyName=https://tousu.sina.com.cn/complaint/view/17396524615?sld=1ab4e8d56100b8df4753d7f2dbb5c14f</x:v>
      </x:c>
      <x:c r="K29" s="4" t="str">
        <x:v>Complainant account; not independently verified</x:v>
      </x:c>
    </x:row>
    <x:row r="30" ht="88" customHeight="1">
      <x:c r="A30" s="11" t="str">
        <x:v>R029</x:v>
      </x:c>
      <x:c r="B30" s="11" t="str">
        <x:v>Huishoubao</x:v>
      </x:c>
      <x:c r="C30" s="11" t="str">
        <x:v>Black Cat Complaints</x:v>
      </x:c>
      <x:c r="D30" s="11" t="str">
        <x:v>2025 (approx.)</x:v>
      </x:c>
      <x:c r="E30" s="11" t="str">
        <x:v>A Taobao trade-in order had a large estimate-to-offer gap. The user requested inspection video, which the platform reportedly declined for privacy reasons.</x:v>
      </x:c>
      <x:c r="F30" s="11" t="str">
        <x:v>Post-inspection offer</x:v>
      </x:c>
      <x:c r="G30" s="11" t="str">
        <x:v>Negative</x:v>
      </x:c>
      <x:c r="H30" s="11" t="str">
        <x:v>Difficulty verifying inspection discrepancies</x:v>
      </x:c>
      <x:c r="I30" s="11" t="str">
        <x:v>Complained and requested inspection video</x:v>
      </x:c>
      <x:c r="J30" s="11" t="e">
        <x:f>HYPERLINK("https://tousu.sina.com.cn/complaint/view/17384333823?sld=492f6916287aeea1abb2614d73106d24","https://tousu.sina.com.cn/complaint/view/17384333823?sld=492f6916287aeea1abb2614d73106d24")</x:f>
        <x:v>HYPERLINK is not implemented. linkLocation=https://tousu.sina.com.cn/complaint/view/17384333823?sld=492f6916287aeea1abb2614d73106d24, friendlyName=https://tousu.sina.com.cn/complaint/view/17384333823?sld=492f6916287aeea1abb2614d73106d24</x:v>
      </x:c>
      <x:c r="K30" s="11" t="str">
        <x:v>Complainant account; date inferred from relative time on page</x:v>
      </x:c>
    </x:row>
    <x:row r="31" ht="88" customHeight="1">
      <x:c r="A31" s="4" t="str">
        <x:v>R030</x:v>
      </x:c>
      <x:c r="B31" s="4" t="str">
        <x:v>Huishoubao</x:v>
      </x:c>
      <x:c r="C31" s="4" t="str">
        <x:v>Black Cat Complaints</x:v>
      </x:c>
      <x:c r="D31" s="4" t="str">
        <x:v>2025 (approx.)</x:v>
      </x:c>
      <x:c r="E31" s="4" t="str">
        <x:v>The user disputed a low condition grade and reported slow return handling and customer-service responses.</x:v>
      </x:c>
      <x:c r="F31" s="4" t="str">
        <x:v>Inspection and return</x:v>
      </x:c>
      <x:c r="G31" s="4" t="str">
        <x:v>Negative</x:v>
      </x:c>
      <x:c r="H31" s="4" t="str">
        <x:v>After-sales communication issues</x:v>
      </x:c>
      <x:c r="I31" s="4" t="str">
        <x:v>Requested return and complained</x:v>
      </x:c>
      <x:c r="J31" s="4" t="e">
        <x:f>HYPERLINK("https://tousu.sina.com.cn/complaint/view/17388239001?sld=a03a4dc7223803c1016a14b5cb38e8c8","https://tousu.sina.com.cn/complaint/view/17388239001?sld=a03a4dc7223803c1016a14b5cb38e8c8")</x:f>
        <x:v>HYPERLINK is not implemented. linkLocation=https://tousu.sina.com.cn/complaint/view/17388239001?sld=a03a4dc7223803c1016a14b5cb38e8c8, friendlyName=https://tousu.sina.com.cn/complaint/view/17388239001?sld=a03a4dc7223803c1016a14b5cb38e8c8</x:v>
      </x:c>
      <x:c r="K31" s="4" t="str">
        <x:v>Complainant account; date inferred from relative time on page</x:v>
      </x:c>
    </x:row>
    <x:row r="32" ht="88" customHeight="1">
      <x:c r="A32" s="11" t="str">
        <x:v>R031</x:v>
      </x:c>
      <x:c r="B32" s="11" t="str">
        <x:v>Huishoubao</x:v>
      </x:c>
      <x:c r="C32" s="11" t="str">
        <x:v>Black Cat Complaints</x:v>
      </x:c>
      <x:c r="D32" s="11" t="str">
        <x:v>2026-05 (approx.)</x:v>
      </x:c>
      <x:c r="E32" s="11" t="str">
        <x:v>The user alleged misleading valuation and refusal to provide complete inspection footage, preventing verification of the reduction.</x:v>
      </x:c>
      <x:c r="F32" s="11" t="str">
        <x:v>Post-inspection offer</x:v>
      </x:c>
      <x:c r="G32" s="11" t="str">
        <x:v>Negative</x:v>
      </x:c>
      <x:c r="H32" s="11" t="str">
        <x:v>Difficulty verifying inspection discrepancies</x:v>
      </x:c>
      <x:c r="I32" s="11" t="str">
        <x:v>Complained and requested recording</x:v>
      </x:c>
      <x:c r="J32" s="11" t="e">
        <x:f>HYPERLINK("https://tousu.sina.com.cn/complaint/view/17396709216?sld=bd96be030579f31dc3318c4d9ecff539","https://tousu.sina.com.cn/complaint/view/17396709216?sld=bd96be030579f31dc3318c4d9ecff539")</x:f>
        <x:v>HYPERLINK is not implemented. linkLocation=https://tousu.sina.com.cn/complaint/view/17396709216?sld=bd96be030579f31dc3318c4d9ecff539, friendlyName=https://tousu.sina.com.cn/complaint/view/17396709216?sld=bd96be030579f31dc3318c4d9ecff539</x:v>
      </x:c>
      <x:c r="K32" s="11" t="str">
        <x:v>Complainant account; month based on search results</x:v>
      </x:c>
    </x:row>
    <x:row r="33" ht="88" customHeight="1">
      <x:c r="A33" s="4" t="str">
        <x:v>R032</x:v>
      </x:c>
      <x:c r="B33" s="4" t="str">
        <x:v>Huishoubao</x:v>
      </x:c>
      <x:c r="C33" s="4" t="str">
        <x:v>Black Cat Complaints</x:v>
      </x:c>
      <x:c r="D33" s="4" t="str">
        <x:v>2021 (approx.)</x:v>
      </x:c>
      <x:c r="E33" s="4" t="str">
        <x:v>The user retained photos and video on the shipping date but considered the inspection, return logistics, and pricing process insufficiently transparent.</x:v>
      </x:c>
      <x:c r="F33" s="4" t="str">
        <x:v>Inspection and return</x:v>
      </x:c>
      <x:c r="G33" s="4" t="str">
        <x:v>Negative</x:v>
      </x:c>
      <x:c r="H33" s="4" t="str">
        <x:v>Limited process transparency</x:v>
      </x:c>
      <x:c r="I33" s="4" t="str">
        <x:v>Requested explanation and return information</x:v>
      </x:c>
      <x:c r="J33" s="4" t="e">
        <x:f>HYPERLINK("https://tousu.sina.com.cn/complaint/view/17356087119/","https://tousu.sina.com.cn/complaint/view/17356087119/")</x:f>
        <x:v>HYPERLINK is not implemented. linkLocation=https://tousu.sina.com.cn/complaint/view/17356087119/, friendlyName=https://tousu.sina.com.cn/complaint/view/17356087119/</x:v>
      </x:c>
      <x:c r="K33" s="4" t="str">
        <x:v>Complainant account; date inferred from relative time on page</x:v>
      </x:c>
    </x:row>
    <x:row r="34" ht="88" customHeight="1">
      <x:c r="A34" s="11" t="str">
        <x:v>R033</x:v>
      </x:c>
      <x:c r="B34" s="11" t="str">
        <x:v>Huishoubao</x:v>
      </x:c>
      <x:c r="C34" s="11" t="str">
        <x:v>Black Cat Complaints company page</x:v>
      </x:c>
      <x:c r="D34" s="11" t="str">
        <x:v>2026-10-03</x:v>
      </x:c>
      <x:c r="E34" s="11" t="str">
        <x:v>The estimate was RMB1,619 and the inspected offer about RMB900. The user said pre-shipping video contradicted severe scratches, paint loss, and bending in the report.</x:v>
      </x:c>
      <x:c r="F34" s="11" t="str">
        <x:v>Post-inspection offer</x:v>
      </x:c>
      <x:c r="G34" s="11" t="str">
        <x:v>Negative</x:v>
      </x:c>
      <x:c r="H34" s="11" t="str">
        <x:v>Difficulty verifying inspection discrepancies</x:v>
      </x:c>
      <x:c r="I34" s="11" t="str">
        <x:v>Requested return and service improvements</x:v>
      </x:c>
      <x:c r="J34" s="11" t="e">
        <x:f>HYPERLINK("https://tj.tousu.sina.com.cn/company/view/?couid=5345438467","https://tj.tousu.sina.com.cn/company/view/?couid=5345438467")</x:f>
        <x:v>HYPERLINK is not implemented. linkLocation=https://tj.tousu.sina.com.cn/company/view/?couid=5345438467, friendlyName=https://tj.tousu.sina.com.cn/company/view/?couid=5345438467</x:v>
      </x:c>
      <x:c r="K34" s="11" t="str">
        <x:v>Public complaint summary on a company aggregation page</x:v>
      </x:c>
    </x:row>
    <x:row r="35" ht="88" customHeight="1">
      <x:c r="A35" s="4" t="str">
        <x:v>R034</x:v>
      </x:c>
      <x:c r="B35" s="4" t="str">
        <x:v>Huishoubao</x:v>
      </x:c>
      <x:c r="C35" s="4" t="str">
        <x:v>Black Cat Complaints company page</x:v>
      </x:c>
      <x:c r="D35" s="4" t="str">
        <x:v>2026-09-26</x:v>
      </x:c>
      <x:c r="E35" s="4" t="str">
        <x:v>The user said a trade-in device was unscratched before shipping but was graded as visibly scratched; they requested unboxing and inspection video.</x:v>
      </x:c>
      <x:c r="F35" s="4" t="str">
        <x:v>Professional inspection</x:v>
      </x:c>
      <x:c r="G35" s="4" t="str">
        <x:v>Negative</x:v>
      </x:c>
      <x:c r="H35" s="4" t="str">
        <x:v>Difficulty verifying inspection discrepancies</x:v>
      </x:c>
      <x:c r="I35" s="4" t="str">
        <x:v>Requested refund and evidence</x:v>
      </x:c>
      <x:c r="J35" s="4" t="e">
        <x:f>HYPERLINK("https://sd.tousu.sina.com.cn/company/view/?couid=5345438467","https://sd.tousu.sina.com.cn/company/view/?couid=5345438467")</x:f>
        <x:v>HYPERLINK is not implemented. linkLocation=https://sd.tousu.sina.com.cn/company/view/?couid=5345438467, friendlyName=https://sd.tousu.sina.com.cn/company/view/?couid=5345438467</x:v>
      </x:c>
      <x:c r="K35" s="4" t="str">
        <x:v>Public complaint summary on a company aggregation page</x:v>
      </x:c>
    </x:row>
    <x:row r="36" ht="88" customHeight="1">
      <x:c r="A36" s="11" t="str">
        <x:v>R035</x:v>
      </x:c>
      <x:c r="B36" s="11" t="str">
        <x:v>Huishoubao</x:v>
      </x:c>
      <x:c r="C36" s="11" t="str">
        <x:v>Black Cat Complaints company page</x:v>
      </x:c>
      <x:c r="D36" s="11" t="str">
        <x:v>2026-09-05</x:v>
      </x:c>
      <x:c r="E36" s="11" t="str">
        <x:v>The user could not match the screen-scratch locations in the report to the supplied video.</x:v>
      </x:c>
      <x:c r="F36" s="11" t="str">
        <x:v>Professional inspection</x:v>
      </x:c>
      <x:c r="G36" s="11" t="str">
        <x:v>Negative</x:v>
      </x:c>
      <x:c r="H36" s="11" t="str">
        <x:v>Difficulty verifying inspection discrepancies</x:v>
      </x:c>
      <x:c r="I36" s="11" t="str">
        <x:v>Requested explanation, refund, and compensation</x:v>
      </x:c>
      <x:c r="J36" s="11" t="e">
        <x:f>HYPERLINK("https://sh.tousu.sina.com.cn/company/view/?couid=5345438467","https://sh.tousu.sina.com.cn/company/view/?couid=5345438467")</x:f>
        <x:v>HYPERLINK is not implemented. linkLocation=https://sh.tousu.sina.com.cn/company/view/?couid=5345438467, friendlyName=https://sh.tousu.sina.com.cn/company/view/?couid=5345438467</x:v>
      </x:c>
      <x:c r="K36" s="11" t="str">
        <x:v>Public complaint summary on a company aggregation page</x:v>
      </x:c>
    </x:row>
    <x:row r="37" ht="88" customHeight="1">
      <x:c r="A37" s="4" t="str">
        <x:v>R036</x:v>
      </x:c>
      <x:c r="B37" s="4" t="str">
        <x:v>Huishoubao</x:v>
      </x:c>
      <x:c r="C37" s="4" t="str">
        <x:v>Zhihu</x:v>
      </x:c>
      <x:c r="D37" s="4" t="str">
        <x:v>2023 (page publication date)</x:v>
      </x:c>
      <x:c r="E37" s="4" t="str">
        <x:v>Comparing sales experiences with Huishoubao and Zhuanzhuan, the user reported a Huishoubao offer of RMB595 after findings involving the rear cover, screen, and display.</x:v>
      </x:c>
      <x:c r="F37" s="4" t="str">
        <x:v>Post-inspection offer</x:v>
      </x:c>
      <x:c r="G37" s="4" t="str">
        <x:v>Negative</x:v>
      </x:c>
      <x:c r="H37" s="4" t="str">
        <x:v>Price expectation gap</x:v>
      </x:c>
      <x:c r="I37" s="4" t="str">
        <x:v>Lost trust in platform</x:v>
      </x:c>
      <x:c r="J37" s="4" t="e">
        <x:f>HYPERLINK("https://zhuanlan.zhihu.com/p/638127443","https://zhuanlan.zhihu.com/p/638127443")</x:f>
        <x:v>HYPERLINK is not implemented. linkLocation=https://zhuanlan.zhihu.com/p/638127443, friendlyName=https://zhuanlan.zhihu.com/p/638127443</x:v>
      </x:c>
      <x:c r="K37" s="4" t="str">
        <x:v>Public experience article; not independently verified</x:v>
      </x:c>
    </x:row>
    <x:row r="38" ht="88" customHeight="1">
      <x:c r="A38" s="11" t="str">
        <x:v>R037</x:v>
      </x:c>
      <x:c r="B38" s="11" t="str">
        <x:v>Huishoubao</x:v>
      </x:c>
      <x:c r="C38" s="11" t="str">
        <x:v>Zhihu Q&amp;A</x:v>
      </x:c>
      <x:c r="D38" s="11" t="str">
        <x:v>2018 (page publication date)</x:v>
      </x:c>
      <x:c r="E38" s="11" t="str">
        <x:v>The user reported a higher Huishoubao quote than nearby campus channels and helpful customer service, completing the sale for price and convenience.</x:v>
      </x:c>
      <x:c r="F38" s="11" t="str">
        <x:v>Transaction experience</x:v>
      </x:c>
      <x:c r="G38" s="11" t="str">
        <x:v>Positive</x:v>
      </x:c>
      <x:c r="H38" s="11" t="str">
        <x:v>Positive experience</x:v>
      </x:c>
      <x:c r="I38" s="11" t="str">
        <x:v>Completed transaction</x:v>
      </x:c>
      <x:c r="J38" s="11" t="e">
        <x:f>HYPERLINK("https://www.zhihu.com/question/266414421","https://www.zhihu.com/question/266414421")</x:f>
        <x:v>HYPERLINK is not implemented. linkLocation=https://www.zhihu.com/question/266414421, friendlyName=https://www.zhihu.com/question/266414421</x:v>
      </x:c>
      <x:c r="K38" s="11" t="str">
        <x:v>Older public answer; may not reflect the current version</x:v>
      </x:c>
    </x:row>
    <x:row r="39" ht="88" customHeight="1">
      <x:c r="A39" s="4" t="str">
        <x:v>R038</x:v>
      </x:c>
      <x:c r="B39" s="4" t="str">
        <x:v>Huishoubao</x:v>
      </x:c>
      <x:c r="C39" s="4" t="str">
        <x:v>Zhihu article</x:v>
      </x:c>
      <x:c r="D39" s="4" t="str">
        <x:v>2020 (page publication date)</x:v>
      </x:c>
      <x:c r="E39" s="4" t="str">
        <x:v>The article compared Huishoubao and Aihuishou and considered Huishoubao’s quotes higher for some common older models.</x:v>
      </x:c>
      <x:c r="F39" s="4" t="str">
        <x:v>Platform comparison</x:v>
      </x:c>
      <x:c r="G39" s="4" t="str">
        <x:v>Positive</x:v>
      </x:c>
      <x:c r="H39" s="4" t="str">
        <x:v>Positive experience</x:v>
      </x:c>
      <x:c r="I39" s="4" t="str">
        <x:v>Recommended as a price comparison option</x:v>
      </x:c>
      <x:c r="J39" s="4" t="e">
        <x:f>HYPERLINK("https://zhuanlan.zhihu.com/p/220343547","https://zhuanlan.zhihu.com/p/220343547")</x:f>
        <x:v>HYPERLINK is not implemented. linkLocation=https://zhuanlan.zhihu.com/p/220343547, friendlyName=https://zhuanlan.zhihu.com/p/220343547</x:v>
      </x:c>
      <x:c r="K39" s="4" t="str">
        <x:v>Public article; may reflect a commercial perspective</x:v>
      </x:c>
    </x:row>
    <x:row r="40" ht="88" customHeight="1">
      <x:c r="A40" s="11" t="str">
        <x:v>R039</x:v>
      </x:c>
      <x:c r="B40" s="11" t="str">
        <x:v>Huishoubao</x:v>
      </x:c>
      <x:c r="C40" s="11" t="str">
        <x:v>Toutiao experience article</x:v>
      </x:c>
      <x:c r="D40" s="11" t="str">
        <x:v>2026 (page publication date)</x:v>
      </x:c>
      <x:c r="E40" s="11" t="str">
        <x:v>The article described quick online valuation and a simple flow, but noted estimate-to-offer gaps and limited inspection transparency.</x:v>
      </x:c>
      <x:c r="F40" s="11" t="str">
        <x:v>Platform comparison</x:v>
      </x:c>
      <x:c r="G40" s="11" t="str">
        <x:v>Neutral</x:v>
      </x:c>
      <x:c r="H40" s="11" t="str">
        <x:v>Limited process transparency</x:v>
      </x:c>
      <x:c r="I40" s="11" t="str">
        <x:v>Advised caution for high-value devices</x:v>
      </x:c>
      <x:c r="J40" s="11" t="e">
        <x:f>HYPERLINK("https://www.toutiao.com/article/7647895039565169206/","https://www.toutiao.com/article/7647895039565169206/")</x:f>
        <x:v>HYPERLINK is not implemented. linkLocation=https://www.toutiao.com/article/7647895039565169206/, friendlyName=https://www.toutiao.com/article/7647895039565169206/</x:v>
      </x:c>
      <x:c r="K40" s="11" t="str">
        <x:v>Public review article; nonrandom user sample</x:v>
      </x:c>
    </x:row>
    <x:row r="41" ht="88" customHeight="1">
      <x:c r="A41" s="4" t="str">
        <x:v>R040</x:v>
      </x:c>
      <x:c r="B41" s="4" t="str">
        <x:v>Huishoubao</x:v>
      </x:c>
      <x:c r="C41" s="4" t="str">
        <x:v>Zhihu review article</x:v>
      </x:c>
      <x:c r="D41" s="4" t="str">
        <x:v>2023 (page retrieval information)</x:v>
      </x:c>
      <x:c r="E41" s="4" t="str">
        <x:v>The author compared platforms on price, convenience, reliability, and payment speed, including hands-on experience with Huishoubao.</x:v>
      </x:c>
      <x:c r="F41" s="4" t="str">
        <x:v>Platform comparison</x:v>
      </x:c>
      <x:c r="G41" s="4" t="str">
        <x:v>Neutral</x:v>
      </x:c>
      <x:c r="H41" s="4" t="str">
        <x:v>Platform selection factors</x:v>
      </x:c>
      <x:c r="I41" s="4" t="str">
        <x:v>Used for cross-platform comparison</x:v>
      </x:c>
      <x:c r="J41" s="4" t="e">
        <x:f>HYPERLINK("https://zhuanlan.zhihu.com/p/429746782","https://zhuanlan.zhihu.com/p/429746782")</x:f>
        <x:v>HYPERLINK is not implemented. linkLocation=https://zhuanlan.zhihu.com/p/429746782, friendlyName=https://zhuanlan.zhihu.com/p/429746782</x:v>
      </x:c>
      <x:c r="K41" s="4" t="str">
        <x:v>Public review article; nonrandom user sample</x:v>
      </x:c>
    </x:row>
    <x:row r="42" ht="88" customHeight="1">
      <x:c r="A42" s="11" t="str">
        <x:v>R041</x:v>
      </x:c>
      <x:c r="B42" s="11" t="str">
        <x:v>Aihuishou</x:v>
      </x:c>
      <x:c r="C42" s="11" t="str">
        <x:v>Black Cat Complaints</x:v>
      </x:c>
      <x:c r="D42" s="11" t="str">
        <x:v>2026-01-16</x:v>
      </x:c>
      <x:c r="E42" s="11" t="str">
        <x:v>The estimate and inspected offer differed by about RMB1,100. The user said pre-shipping video did not show the reported scratches or replacement-part issues.</x:v>
      </x:c>
      <x:c r="F42" s="11" t="str">
        <x:v>Post-inspection offer</x:v>
      </x:c>
      <x:c r="G42" s="11" t="str">
        <x:v>Negative</x:v>
      </x:c>
      <x:c r="H42" s="11" t="str">
        <x:v>Difficulty verifying inspection discrepancies</x:v>
      </x:c>
      <x:c r="I42" s="11" t="str">
        <x:v>Filed complaint to seek redress</x:v>
      </x:c>
      <x:c r="J42" s="11" t="e">
        <x:f>HYPERLINK("https://tousu.sina.com.cn/complaint/view/17392530164?sld=d896ba8e2fd686e667f97752ae3da590","https://tousu.sina.com.cn/complaint/view/17392530164?sld=d896ba8e2fd686e667f97752ae3da590")</x:f>
        <x:v>HYPERLINK is not implemented. linkLocation=https://tousu.sina.com.cn/complaint/view/17392530164?sld=d896ba8e2fd686e667f97752ae3da590, friendlyName=https://tousu.sina.com.cn/complaint/view/17392530164?sld=d896ba8e2fd686e667f97752ae3da590</x:v>
      </x:c>
      <x:c r="K42" s="11" t="str">
        <x:v>Complainant account; not independently verified</x:v>
      </x:c>
    </x:row>
    <x:row r="43" ht="88" customHeight="1">
      <x:c r="A43" s="4" t="str">
        <x:v>R042</x:v>
      </x:c>
      <x:c r="B43" s="4" t="str">
        <x:v>Aihuishou</x:v>
      </x:c>
      <x:c r="C43" s="4" t="str">
        <x:v>Black Cat Complaints</x:v>
      </x:c>
      <x:c r="D43" s="4" t="str">
        <x:v>2026-02 (approx.)</x:v>
      </x:c>
      <x:c r="E43" s="4" t="str">
        <x:v>The inspected offer was nearly RMB1,400 below the estimate. The user requested inspection video and compensation for depreciation during device retention.</x:v>
      </x:c>
      <x:c r="F43" s="4" t="str">
        <x:v>Post-inspection offer</x:v>
      </x:c>
      <x:c r="G43" s="4" t="str">
        <x:v>Negative</x:v>
      </x:c>
      <x:c r="H43" s="4" t="str">
        <x:v>Price expectation gap</x:v>
      </x:c>
      <x:c r="I43" s="4" t="str">
        <x:v>Requested return and compensation</x:v>
      </x:c>
      <x:c r="J43" s="4" t="e">
        <x:f>HYPERLINK("https://tousu.sina.com.cn/complaint/view/17393778750?sld=3b1dfb6ee550eda41063ad4736a14078","https://tousu.sina.com.cn/complaint/view/17393778750?sld=3b1dfb6ee550eda41063ad4736a14078")</x:f>
        <x:v>HYPERLINK is not implemented. linkLocation=https://tousu.sina.com.cn/complaint/view/17393778750?sld=3b1dfb6ee550eda41063ad4736a14078, friendlyName=https://tousu.sina.com.cn/complaint/view/17393778750?sld=3b1dfb6ee550eda41063ad4736a14078</x:v>
      </x:c>
      <x:c r="K43" s="4" t="str">
        <x:v>Complainant account; month based on search results</x:v>
      </x:c>
    </x:row>
    <x:row r="44" ht="88" customHeight="1">
      <x:c r="A44" s="11" t="str">
        <x:v>R043</x:v>
      </x:c>
      <x:c r="B44" s="11" t="str">
        <x:v>Aihuishou</x:v>
      </x:c>
      <x:c r="C44" s="11" t="str">
        <x:v>Black Cat Complaints</x:v>
      </x:c>
      <x:c r="D44" s="11" t="str">
        <x:v>2024 (approx.)</x:v>
      </x:c>
      <x:c r="E44" s="11" t="str">
        <x:v>The user said the phone always had a protector and case, but inspection still found screen scratches; they disputed the report.</x:v>
      </x:c>
      <x:c r="F44" s="11" t="str">
        <x:v>Professional inspection</x:v>
      </x:c>
      <x:c r="G44" s="11" t="str">
        <x:v>Negative</x:v>
      </x:c>
      <x:c r="H44" s="11" t="str">
        <x:v>Difficulty verifying inspection discrepancies</x:v>
      </x:c>
      <x:c r="I44" s="11" t="str">
        <x:v>Requested compensation</x:v>
      </x:c>
      <x:c r="J44" s="11" t="e">
        <x:f>HYPERLINK("https://tousu.sina.com.cn/complaint/view/17374928761","https://tousu.sina.com.cn/complaint/view/17374928761")</x:f>
        <x:v>HYPERLINK is not implemented. linkLocation=https://tousu.sina.com.cn/complaint/view/17374928761, friendlyName=https://tousu.sina.com.cn/complaint/view/17374928761</x:v>
      </x:c>
      <x:c r="K44" s="11" t="str">
        <x:v>Complainant account; date inferred from relative time on page</x:v>
      </x:c>
    </x:row>
    <x:row r="45" ht="88" customHeight="1">
      <x:c r="A45" s="4" t="str">
        <x:v>R044</x:v>
      </x:c>
      <x:c r="B45" s="4" t="str">
        <x:v>Aihuishou</x:v>
      </x:c>
      <x:c r="C45" s="4" t="str">
        <x:v>Black Cat Complaints</x:v>
      </x:c>
      <x:c r="D45" s="4" t="str">
        <x:v>2026-09 (approx.)</x:v>
      </x:c>
      <x:c r="E45" s="4" t="str">
        <x:v>The user reported different findings from two inspections of the same device and questioned whether its condition changed during inspection.</x:v>
      </x:c>
      <x:c r="F45" s="4" t="str">
        <x:v>Professional inspection</x:v>
      </x:c>
      <x:c r="G45" s="4" t="str">
        <x:v>Negative</x:v>
      </x:c>
      <x:c r="H45" s="4" t="str">
        <x:v>Inconsistent inspection standards</x:v>
      </x:c>
      <x:c r="I45" s="4" t="str">
        <x:v>Requested higher estimate or compensation</x:v>
      </x:c>
      <x:c r="J45" s="4" t="e">
        <x:f>HYPERLINK("https://tousu.sina.com.cn/complaint/view/17401854606?sld=e4794c2c0a3f7c505a81f8099369f375","https://tousu.sina.com.cn/complaint/view/17401854606?sld=e4794c2c0a3f7c505a81f8099369f375")</x:f>
        <x:v>HYPERLINK is not implemented. linkLocation=https://tousu.sina.com.cn/complaint/view/17401854606?sld=e4794c2c0a3f7c505a81f8099369f375, friendlyName=https://tousu.sina.com.cn/complaint/view/17401854606?sld=e4794c2c0a3f7c505a81f8099369f375</x:v>
      </x:c>
      <x:c r="K45" s="4" t="str">
        <x:v>Complainant account; month based on search results</x:v>
      </x:c>
    </x:row>
    <x:row r="46" ht="88" customHeight="1">
      <x:c r="A46" s="11" t="str">
        <x:v>R045</x:v>
      </x:c>
      <x:c r="B46" s="11" t="str">
        <x:v>Aihuishou</x:v>
      </x:c>
      <x:c r="C46" s="11" t="str">
        <x:v>Black Cat Complaints</x:v>
      </x:c>
      <x:c r="D46" s="11" t="str">
        <x:v>2026-02-14</x:v>
      </x:c>
      <x:c r="E46" s="11" t="str">
        <x:v>Trade-in inspection deducted money for scratches, also affecting the upgrade subsidy. The user said pre-shipping photos were not accepted as evidence.</x:v>
      </x:c>
      <x:c r="F46" s="11" t="str">
        <x:v>At-home inspection</x:v>
      </x:c>
      <x:c r="G46" s="11" t="str">
        <x:v>Negative</x:v>
      </x:c>
      <x:c r="H46" s="11" t="str">
        <x:v>Difficulty verifying inspection discrepancies</x:v>
      </x:c>
      <x:c r="I46" s="11" t="str">
        <x:v>Rejected compensation and continued appeal</x:v>
      </x:c>
      <x:c r="J46" s="11" t="e">
        <x:f>HYPERLINK("https://tousu.sina.com.cn/complaint/view/17393728434?sld=b3ba1b48fc3eefd620142d647d317473","https://tousu.sina.com.cn/complaint/view/17393728434?sld=b3ba1b48fc3eefd620142d647d317473")</x:f>
        <x:v>HYPERLINK is not implemented. linkLocation=https://tousu.sina.com.cn/complaint/view/17393728434?sld=b3ba1b48fc3eefd620142d647d317473, friendlyName=https://tousu.sina.com.cn/complaint/view/17393728434?sld=b3ba1b48fc3eefd620142d647d317473</x:v>
      </x:c>
      <x:c r="K46" s="11" t="str">
        <x:v>Complainant account; not independently verified</x:v>
      </x:c>
    </x:row>
    <x:row r="47" ht="88" customHeight="1">
      <x:c r="A47" s="4" t="str">
        <x:v>R046</x:v>
      </x:c>
      <x:c r="B47" s="4" t="str">
        <x:v>Aihuishou</x:v>
      </x:c>
      <x:c r="C47" s="4" t="str">
        <x:v>Black Cat Complaints</x:v>
      </x:c>
      <x:c r="D47" s="4" t="str">
        <x:v>2026-02 (approx.)</x:v>
      </x:c>
      <x:c r="E47" s="4" t="str">
        <x:v>Online and offline offers differed by about RMB200. The user felt obliged to accept the reduction after the new phone could no longer be returned.</x:v>
      </x:c>
      <x:c r="F47" s="4" t="str">
        <x:v>At-home inspection</x:v>
      </x:c>
      <x:c r="G47" s="4" t="str">
        <x:v>Negative</x:v>
      </x:c>
      <x:c r="H47" s="4" t="str">
        <x:v>Price expectation gap</x:v>
      </x:c>
      <x:c r="I47" s="4" t="str">
        <x:v>Complained about partner platform and recycler</x:v>
      </x:c>
      <x:c r="J47" s="4" t="e">
        <x:f>HYPERLINK("https://tousu.sina.com.cn/complaint/view/17393716728?sld=3a45d5d0b037c5285fdf058cc895fc5f","https://tousu.sina.com.cn/complaint/view/17393716728?sld=3a45d5d0b037c5285fdf058cc895fc5f")</x:f>
        <x:v>HYPERLINK is not implemented. linkLocation=https://tousu.sina.com.cn/complaint/view/17393716728?sld=3a45d5d0b037c5285fdf058cc895fc5f, friendlyName=https://tousu.sina.com.cn/complaint/view/17393716728?sld=3a45d5d0b037c5285fdf058cc895fc5f</x:v>
      </x:c>
      <x:c r="K47" s="4" t="str">
        <x:v>Complainant account; month based on search results</x:v>
      </x:c>
    </x:row>
    <x:row r="48" ht="88" customHeight="1">
      <x:c r="A48" s="11" t="str">
        <x:v>R047</x:v>
      </x:c>
      <x:c r="B48" s="11" t="str">
        <x:v>Aihuishou</x:v>
      </x:c>
      <x:c r="C48" s="11" t="str">
        <x:v>Black Cat Complaints</x:v>
      </x:c>
      <x:c r="D48" s="11" t="str">
        <x:v>2025-01-16</x:v>
      </x:c>
      <x:c r="E48" s="11" t="str">
        <x:v>An iPhone 11 estimate of RMB1,510 was reduced by RMB520 after inspection. The user cited long-term screen protection and inadequate communication.</x:v>
      </x:c>
      <x:c r="F48" s="11" t="str">
        <x:v>Post-inspection offer</x:v>
      </x:c>
      <x:c r="G48" s="11" t="str">
        <x:v>Negative</x:v>
      </x:c>
      <x:c r="H48" s="11" t="str">
        <x:v>Price expectation gap</x:v>
      </x:c>
      <x:c r="I48" s="11" t="str">
        <x:v>Complained and requested resolution</x:v>
      </x:c>
      <x:c r="J48" s="11" t="e">
        <x:f>HYPERLINK("https://tousu.sina.com.cn/complaint/view/17379398816?sld=a67248ad6456426a7d4fe2f6c7941eed","https://tousu.sina.com.cn/complaint/view/17379398816?sld=a67248ad6456426a7d4fe2f6c7941eed")</x:f>
        <x:v>HYPERLINK is not implemented. linkLocation=https://tousu.sina.com.cn/complaint/view/17379398816?sld=a67248ad6456426a7d4fe2f6c7941eed, friendlyName=https://tousu.sina.com.cn/complaint/view/17379398816?sld=a67248ad6456426a7d4fe2f6c7941eed</x:v>
      </x:c>
      <x:c r="K48" s="11" t="str">
        <x:v>Complainant account; not independently verified</x:v>
      </x:c>
    </x:row>
    <x:row r="49" ht="88" customHeight="1">
      <x:c r="A49" s="4" t="str">
        <x:v>R048</x:v>
      </x:c>
      <x:c r="B49" s="4" t="str">
        <x:v>Aihuishou</x:v>
      </x:c>
      <x:c r="C49" s="4" t="str">
        <x:v>Black Cat Complaints</x:v>
      </x:c>
      <x:c r="D49" s="4" t="str">
        <x:v>2026-05 (approx.)</x:v>
      </x:c>
      <x:c r="E49" s="4" t="str">
        <x:v>The user considered inspection insufficiently protective and minor dents over-penalized; the final offer was below the estimate and local market quotes.</x:v>
      </x:c>
      <x:c r="F49" s="4" t="str">
        <x:v>At-home inspection</x:v>
      </x:c>
      <x:c r="G49" s="4" t="str">
        <x:v>Negative</x:v>
      </x:c>
      <x:c r="H49" s="4" t="str">
        <x:v>Difficulty assessing condition</x:v>
      </x:c>
      <x:c r="I49" s="4" t="str">
        <x:v>Complained and questioned inspection standards</x:v>
      </x:c>
      <x:c r="J49" s="4" t="e">
        <x:f>HYPERLINK("https://tousu.sina.com.cn/complaint/view/17396675336?sld=6669fbc08ea6529a298e0dbd871a5e8a","https://tousu.sina.com.cn/complaint/view/17396675336?sld=6669fbc08ea6529a298e0dbd871a5e8a")</x:f>
        <x:v>HYPERLINK is not implemented. linkLocation=https://tousu.sina.com.cn/complaint/view/17396675336?sld=6669fbc08ea6529a298e0dbd871a5e8a, friendlyName=https://tousu.sina.com.cn/complaint/view/17396675336?sld=6669fbc08ea6529a298e0dbd871a5e8a</x:v>
      </x:c>
      <x:c r="K49" s="4" t="str">
        <x:v>Complainant account; month based on search results</x:v>
      </x:c>
    </x:row>
    <x:row r="50" ht="88" customHeight="1">
      <x:c r="A50" s="11" t="str">
        <x:v>R049</x:v>
      </x:c>
      <x:c r="B50" s="11" t="str">
        <x:v>Aihuishou</x:v>
      </x:c>
      <x:c r="C50" s="11" t="str">
        <x:v>Black Cat Complaints</x:v>
      </x:c>
      <x:c r="D50" s="11" t="str">
        <x:v>2026-01</x:v>
      </x:c>
      <x:c r="E50" s="11" t="str">
        <x:v>An iPhone 15 Pro Max estimate of RMB4,358 became RMB3,818 after inspection. The user disputed the deduction reasons.</x:v>
      </x:c>
      <x:c r="F50" s="11" t="str">
        <x:v>Post-inspection offer</x:v>
      </x:c>
      <x:c r="G50" s="11" t="str">
        <x:v>Negative</x:v>
      </x:c>
      <x:c r="H50" s="11" t="str">
        <x:v>Insufficient explanation of price changes</x:v>
      </x:c>
      <x:c r="I50" s="11" t="str">
        <x:v>Appealed price difference</x:v>
      </x:c>
      <x:c r="J50" s="11" t="e">
        <x:f>HYPERLINK("https://tousu.sina.com.cn/complaint/view/17392638826?sld=28738acf3f932e34a13e4de9a3d5aa43","https://tousu.sina.com.cn/complaint/view/17392638826?sld=28738acf3f932e34a13e4de9a3d5aa43")</x:f>
        <x:v>HYPERLINK is not implemented. linkLocation=https://tousu.sina.com.cn/complaint/view/17392638826?sld=28738acf3f932e34a13e4de9a3d5aa43, friendlyName=https://tousu.sina.com.cn/complaint/view/17392638826?sld=28738acf3f932e34a13e4de9a3d5aa43</x:v>
      </x:c>
      <x:c r="K50" s="11" t="str">
        <x:v>Complainant account; not independently verified</x:v>
      </x:c>
    </x:row>
    <x:row r="51" ht="88" customHeight="1">
      <x:c r="A51" s="4" t="str">
        <x:v>R050</x:v>
      </x:c>
      <x:c r="B51" s="4" t="str">
        <x:v>Aihuishou</x:v>
      </x:c>
      <x:c r="C51" s="4" t="str">
        <x:v>Black Cat Complaints</x:v>
      </x:c>
      <x:c r="D51" s="4" t="str">
        <x:v>2026-05 (approx.)</x:v>
      </x:c>
      <x:c r="E51" s="4" t="str">
        <x:v>The same phone and defects produced estimates of RMB1,200 and RMB960 through different entry points, also changing the subsidy tier.</x:v>
      </x:c>
      <x:c r="F51" s="4" t="str">
        <x:v>Online valuation</x:v>
      </x:c>
      <x:c r="G51" s="4" t="str">
        <x:v>Negative</x:v>
      </x:c>
      <x:c r="H51" s="4" t="str">
        <x:v>Inconsistent valuation rules</x:v>
      </x:c>
      <x:c r="I51" s="4" t="str">
        <x:v>Complained and requested compensation</x:v>
      </x:c>
      <x:c r="J51" s="4" t="e">
        <x:f>HYPERLINK("https://tousu.sina.com.cn/complaint/view/17396795068?sld=b73ff9334a58e31239170152eed2dabd","https://tousu.sina.com.cn/complaint/view/17396795068?sld=b73ff9334a58e31239170152eed2dabd")</x:f>
        <x:v>HYPERLINK is not implemented. linkLocation=https://tousu.sina.com.cn/complaint/view/17396795068?sld=b73ff9334a58e31239170152eed2dabd, friendlyName=https://tousu.sina.com.cn/complaint/view/17396795068?sld=b73ff9334a58e31239170152eed2dabd</x:v>
      </x:c>
      <x:c r="K51" s="4" t="str">
        <x:v>Complainant account; month based on search results</x:v>
      </x:c>
    </x:row>
    <x:row r="52" ht="88" customHeight="1">
      <x:c r="A52" s="11" t="str">
        <x:v>R051</x:v>
      </x:c>
      <x:c r="B52" s="11" t="str">
        <x:v>Zhuanzhuan</x:v>
      </x:c>
      <x:c r="C52" s="11" t="str">
        <x:v>Black Cat Complaints</x:v>
      </x:c>
      <x:c r="D52" s="11" t="str">
        <x:v>2024-08-20</x:v>
      </x:c>
      <x:c r="E52" s="11" t="str">
        <x:v>The at-home inspector initially reported no obvious issues, then revised the report to add damage and wear. The user refused to sell.</x:v>
      </x:c>
      <x:c r="F52" s="11" t="str">
        <x:v>At-home inspection</x:v>
      </x:c>
      <x:c r="G52" s="11" t="str">
        <x:v>Negative</x:v>
      </x:c>
      <x:c r="H52" s="11" t="str">
        <x:v>Inconsistent inspection standards</x:v>
      </x:c>
      <x:c r="I52" s="11" t="str">
        <x:v>Refused sale and requested return unchanged</x:v>
      </x:c>
      <x:c r="J52" s="11" t="e">
        <x:f>HYPERLINK("https://tousu.sina.com.cn/complaint/view/17381766482?sld=cb740ad480542962e2f9c2d28146f065","https://tousu.sina.com.cn/complaint/view/17381766482?sld=cb740ad480542962e2f9c2d28146f065")</x:f>
        <x:v>HYPERLINK is not implemented. linkLocation=https://tousu.sina.com.cn/complaint/view/17381766482?sld=cb740ad480542962e2f9c2d28146f065, friendlyName=https://tousu.sina.com.cn/complaint/view/17381766482?sld=cb740ad480542962e2f9c2d28146f065</x:v>
      </x:c>
      <x:c r="K52" s="11" t="str">
        <x:v>Complainant account; not independently verified</x:v>
      </x:c>
    </x:row>
    <x:row r="53" ht="88" customHeight="1">
      <x:c r="A53" s="4" t="str">
        <x:v>R052</x:v>
      </x:c>
      <x:c r="B53" s="4" t="str">
        <x:v>Zhuanzhuan</x:v>
      </x:c>
      <x:c r="C53" s="4" t="str">
        <x:v>Black Cat Complaints</x:v>
      </x:c>
      <x:c r="D53" s="4" t="str">
        <x:v>2026-02-01</x:v>
      </x:c>
      <x:c r="E53" s="4" t="str">
        <x:v>The phone was estimated at RMB1,080 but offered RMB488 after mail-in inspection. The user said battery repair was recorded after disassembly.</x:v>
      </x:c>
      <x:c r="F53" s="4" t="str">
        <x:v>Professional inspection</x:v>
      </x:c>
      <x:c r="G53" s="4" t="str">
        <x:v>Negative</x:v>
      </x:c>
      <x:c r="H53" s="4" t="str">
        <x:v>Price expectation gap</x:v>
      </x:c>
      <x:c r="I53" s="4" t="str">
        <x:v>Rejected offer and complained</x:v>
      </x:c>
      <x:c r="J53" s="4" t="e">
        <x:f>HYPERLINK("https://tousu.sina.com.cn/complaint/view/17393307650?sld=3c6c597ad0cbf35b38eef9caeba142ce","https://tousu.sina.com.cn/complaint/view/17393307650?sld=3c6c597ad0cbf35b38eef9caeba142ce")</x:f>
        <x:v>HYPERLINK is not implemented. linkLocation=https://tousu.sina.com.cn/complaint/view/17393307650?sld=3c6c597ad0cbf35b38eef9caeba142ce, friendlyName=https://tousu.sina.com.cn/complaint/view/17393307650?sld=3c6c597ad0cbf35b38eef9caeba142ce</x:v>
      </x:c>
      <x:c r="K53" s="4" t="str">
        <x:v>Complainant account; not independently verified</x:v>
      </x:c>
    </x:row>
    <x:row r="54" ht="88" customHeight="1">
      <x:c r="A54" s="11" t="str">
        <x:v>R053</x:v>
      </x:c>
      <x:c r="B54" s="11" t="str">
        <x:v>Zhuanzhuan</x:v>
      </x:c>
      <x:c r="C54" s="11" t="str">
        <x:v>Black Cat Complaints</x:v>
      </x:c>
      <x:c r="D54" s="11" t="str">
        <x:v>2026-04 (approx.)</x:v>
      </x:c>
      <x:c r="E54" s="11" t="str">
        <x:v>The user reported a large gap between the platform estimate and in-store inspection, an offer below other platforms, and limited compensation.</x:v>
      </x:c>
      <x:c r="F54" s="11" t="str">
        <x:v>In-store inspection</x:v>
      </x:c>
      <x:c r="G54" s="11" t="str">
        <x:v>Negative</x:v>
      </x:c>
      <x:c r="H54" s="11" t="str">
        <x:v>Price expectation gap</x:v>
      </x:c>
      <x:c r="I54" s="11" t="str">
        <x:v>Complained and requested compensation</x:v>
      </x:c>
      <x:c r="J54" s="11" t="e">
        <x:f>HYPERLINK("https://tousu.sina.com.cn/complaint/view/17394909916?sld=5ad699e9d4181a374d0f2a84e63562d2","https://tousu.sina.com.cn/complaint/view/17394909916?sld=5ad699e9d4181a374d0f2a84e63562d2")</x:f>
        <x:v>HYPERLINK is not implemented. linkLocation=https://tousu.sina.com.cn/complaint/view/17394909916?sld=5ad699e9d4181a374d0f2a84e63562d2, friendlyName=https://tousu.sina.com.cn/complaint/view/17394909916?sld=5ad699e9d4181a374d0f2a84e63562d2</x:v>
      </x:c>
      <x:c r="K54" s="11" t="str">
        <x:v>Complainant account; month based on search results</x:v>
      </x:c>
    </x:row>
    <x:row r="55" ht="88" customHeight="1">
      <x:c r="A55" s="4" t="str">
        <x:v>R054</x:v>
      </x:c>
      <x:c r="B55" s="4" t="str">
        <x:v>Zhuanzhuan</x:v>
      </x:c>
      <x:c r="C55" s="4" t="str">
        <x:v>Black Cat Complaints</x:v>
      </x:c>
      <x:c r="D55" s="4" t="str">
        <x:v>2026-05 (approx.)</x:v>
      </x:c>
      <x:c r="E55" s="4" t="str">
        <x:v>The initial valuation was RMB1,458. The user believed later inspection applied different standards from those used when the device was sold to them.</x:v>
      </x:c>
      <x:c r="F55" s="4" t="str">
        <x:v>Professional inspection</x:v>
      </x:c>
      <x:c r="G55" s="4" t="str">
        <x:v>Negative</x:v>
      </x:c>
      <x:c r="H55" s="4" t="str">
        <x:v>Inconsistent inspection standards</x:v>
      </x:c>
      <x:c r="I55" s="4" t="str">
        <x:v>Requested original price or undamaged return</x:v>
      </x:c>
      <x:c r="J55" s="4" t="e">
        <x:f>HYPERLINK("https://tousu.sina.com.cn/complaint/view/17398019091?sld=c6fb036af0d1e1ef23a0e0a852993591","https://tousu.sina.com.cn/complaint/view/17398019091?sld=c6fb036af0d1e1ef23a0e0a852993591")</x:f>
        <x:v>HYPERLINK is not implemented. linkLocation=https://tousu.sina.com.cn/complaint/view/17398019091?sld=c6fb036af0d1e1ef23a0e0a852993591, friendlyName=https://tousu.sina.com.cn/complaint/view/17398019091?sld=c6fb036af0d1e1ef23a0e0a852993591</x:v>
      </x:c>
      <x:c r="K55" s="4" t="str">
        <x:v>Complainant account; month based on search results</x:v>
      </x:c>
    </x:row>
    <x:row r="56" ht="88" customHeight="1">
      <x:c r="A56" s="11" t="str">
        <x:v>R055</x:v>
      </x:c>
      <x:c r="B56" s="11" t="str">
        <x:v>Zhuanzhuan</x:v>
      </x:c>
      <x:c r="C56" s="11" t="str">
        <x:v>Black Cat Complaints</x:v>
      </x:c>
      <x:c r="D56" s="11" t="str">
        <x:v>2024-01-20</x:v>
      </x:c>
      <x:c r="E56" s="11" t="str">
        <x:v>The user reported quotes above RMB2,800 elsewhere but about RMB2,396 at Zhuanzhuan including a promotional coupon, considering the offer too low.</x:v>
      </x:c>
      <x:c r="F56" s="11" t="str">
        <x:v>In-store inspection</x:v>
      </x:c>
      <x:c r="G56" s="11" t="str">
        <x:v>Negative</x:v>
      </x:c>
      <x:c r="H56" s="11" t="str">
        <x:v>Cross-platform price differences</x:v>
      </x:c>
      <x:c r="I56" s="11" t="str">
        <x:v>Requested higher offer or return</x:v>
      </x:c>
      <x:c r="J56" s="11" t="e">
        <x:f>HYPERLINK("https://tousu.sina.com.cn/complaint/view/17371243478","https://tousu.sina.com.cn/complaint/view/17371243478")</x:f>
        <x:v>HYPERLINK is not implemented. linkLocation=https://tousu.sina.com.cn/complaint/view/17371243478, friendlyName=https://tousu.sina.com.cn/complaint/view/17371243478</x:v>
      </x:c>
      <x:c r="K56" s="11" t="str">
        <x:v>Complainant account; not independently verified</x:v>
      </x:c>
    </x:row>
    <x:row r="57" ht="88" customHeight="1">
      <x:c r="A57" s="4" t="str">
        <x:v>R056</x:v>
      </x:c>
      <x:c r="B57" s="4" t="str">
        <x:v>Zhuanzhuan</x:v>
      </x:c>
      <x:c r="C57" s="4" t="str">
        <x:v>Black Cat Complaints</x:v>
      </x:c>
      <x:c r="D57" s="4" t="str">
        <x:v>2024-06-03</x:v>
      </x:c>
      <x:c r="E57" s="4" t="str">
        <x:v>After honest self-reporting, the estimate was RMB4,302. Mail-in inspection reduced it for cosmetic marks and camera spots; the user also questioned disassembly risk.</x:v>
      </x:c>
      <x:c r="F57" s="4" t="str">
        <x:v>Professional inspection</x:v>
      </x:c>
      <x:c r="G57" s="4" t="str">
        <x:v>Negative</x:v>
      </x:c>
      <x:c r="H57" s="4" t="str">
        <x:v>Difficulty verifying inspection discrepancies</x:v>
      </x:c>
      <x:c r="I57" s="4" t="str">
        <x:v>Requested estimated price or return and compensation</x:v>
      </x:c>
      <x:c r="J57" s="4" t="e">
        <x:f>HYPERLINK("https://tousu.sina.com.cn/complaint/view/17373739722","https://tousu.sina.com.cn/complaint/view/17373739722")</x:f>
        <x:v>HYPERLINK is not implemented. linkLocation=https://tousu.sina.com.cn/complaint/view/17373739722, friendlyName=https://tousu.sina.com.cn/complaint/view/17373739722</x:v>
      </x:c>
      <x:c r="K57" s="4" t="str">
        <x:v>Complainant account; not independently verified</x:v>
      </x:c>
    </x:row>
    <x:row r="58" ht="88" customHeight="1">
      <x:c r="A58" s="11" t="str">
        <x:v>R057</x:v>
      </x:c>
      <x:c r="B58" s="11" t="str">
        <x:v>Zhuanzhuan</x:v>
      </x:c>
      <x:c r="C58" s="11" t="str">
        <x:v>Black Cat Complaints</x:v>
      </x:c>
      <x:c r="D58" s="11" t="str">
        <x:v>2026-02-08</x:v>
      </x:c>
      <x:c r="E58" s="11" t="str">
        <x:v>The user entered 91% battery health, but inspection reported 90%, placing the device in a lower band. No verifiable evidence was reportedly supplied.</x:v>
      </x:c>
      <x:c r="F58" s="11" t="str">
        <x:v>Professional inspection</x:v>
      </x:c>
      <x:c r="G58" s="11" t="str">
        <x:v>Negative</x:v>
      </x:c>
      <x:c r="H58" s="11" t="str">
        <x:v>Difficulty verifying inspection discrepancies</x:v>
      </x:c>
      <x:c r="I58" s="11" t="str">
        <x:v>Complained and requested evidence</x:v>
      </x:c>
      <x:c r="J58" s="11" t="e">
        <x:f>HYPERLINK("https://tousu.sina.com.cn/complaint/view/17393637908?sld=a0f45a6775c55c78bdd65ceb7273c40a","https://tousu.sina.com.cn/complaint/view/17393637908?sld=a0f45a6775c55c78bdd65ceb7273c40a")</x:f>
        <x:v>HYPERLINK is not implemented. linkLocation=https://tousu.sina.com.cn/complaint/view/17393637908?sld=a0f45a6775c55c78bdd65ceb7273c40a, friendlyName=https://tousu.sina.com.cn/complaint/view/17393637908?sld=a0f45a6775c55c78bdd65ceb7273c40a</x:v>
      </x:c>
      <x:c r="K58" s="11" t="str">
        <x:v>Complainant account; not independently verified</x:v>
      </x:c>
    </x:row>
    <x:row r="59" ht="88" customHeight="1">
      <x:c r="A59" s="4" t="str">
        <x:v>R058</x:v>
      </x:c>
      <x:c r="B59" s="4" t="str">
        <x:v>Zhuanzhuan</x:v>
      </x:c>
      <x:c r="C59" s="4" t="str">
        <x:v>Black Cat Complaints</x:v>
      </x:c>
      <x:c r="D59" s="4" t="str">
        <x:v>2026-02-07</x:v>
      </x:c>
      <x:c r="E59" s="4" t="str">
        <x:v>The report showed normal functionality with minor image retention and paint loss. The user still considered the offer too low and insufficiently explained.</x:v>
      </x:c>
      <x:c r="F59" s="4" t="str">
        <x:v>Post-inspection offer</x:v>
      </x:c>
      <x:c r="G59" s="4" t="str">
        <x:v>Negative</x:v>
      </x:c>
      <x:c r="H59" s="4" t="str">
        <x:v>Insufficient explanation of price changes</x:v>
      </x:c>
      <x:c r="I59" s="4" t="str">
        <x:v>Complained about low offer</x:v>
      </x:c>
      <x:c r="J59" s="4" t="e">
        <x:f>HYPERLINK("https://tousu.sina.com.cn/complaint/view/17393385044?sld=36f3119eda5639b642ae21e65f1a3e1b","https://tousu.sina.com.cn/complaint/view/17393385044?sld=36f3119eda5639b642ae21e65f1a3e1b")</x:f>
        <x:v>HYPERLINK is not implemented. linkLocation=https://tousu.sina.com.cn/complaint/view/17393385044?sld=36f3119eda5639b642ae21e65f1a3e1b, friendlyName=https://tousu.sina.com.cn/complaint/view/17393385044?sld=36f3119eda5639b642ae21e65f1a3e1b</x:v>
      </x:c>
      <x:c r="K59" s="4" t="str">
        <x:v>Complainant account; not independently verified</x:v>
      </x:c>
    </x:row>
    <x:row r="60" ht="88" customHeight="1">
      <x:c r="A60" s="11" t="str">
        <x:v>R059</x:v>
      </x:c>
      <x:c r="B60" s="11" t="str">
        <x:v>Zhuanzhuan</x:v>
      </x:c>
      <x:c r="C60" s="11" t="str">
        <x:v>Black Cat Complaints</x:v>
      </x:c>
      <x:c r="D60" s="11" t="str">
        <x:v>2024-09-18</x:v>
      </x:c>
      <x:c r="E60" s="11" t="str">
        <x:v>The estimate was RMB2,185 and the inspected offer RMB415 for motherboard repair, camera gray spots, and a SIM-adapter-unlocked phone. The user initially accepted without technical knowledge, then found higher quotes elsewhere.</x:v>
      </x:c>
      <x:c r="F60" s="11" t="str">
        <x:v>Post-inspection offer</x:v>
      </x:c>
      <x:c r="G60" s="11" t="str">
        <x:v>Negative</x:v>
      </x:c>
      <x:c r="H60" s="11" t="str">
        <x:v>Insufficient explanation of price changes</x:v>
      </x:c>
      <x:c r="I60" s="11" t="str">
        <x:v>Requested reversal after sale</x:v>
      </x:c>
      <x:c r="J60" s="11" t="e">
        <x:f>HYPERLINK("https://tousu.sina.com.cn/complaint/view/17376166701?sld=1736f60ad6389cb3ea028722f8275778","https://tousu.sina.com.cn/complaint/view/17376166701?sld=1736f60ad6389cb3ea028722f8275778")</x:f>
        <x:v>HYPERLINK is not implemented. linkLocation=https://tousu.sina.com.cn/complaint/view/17376166701?sld=1736f60ad6389cb3ea028722f8275778, friendlyName=https://tousu.sina.com.cn/complaint/view/17376166701?sld=1736f60ad6389cb3ea028722f8275778</x:v>
      </x:c>
      <x:c r="K60" s="11" t="str">
        <x:v>Complainant account; not independently verified</x:v>
      </x:c>
    </x:row>
    <x:row r="61" ht="88" customHeight="1">
      <x:c r="A61" s="4" t="str">
        <x:v>R060</x:v>
      </x:c>
      <x:c r="B61" s="4" t="str">
        <x:v>Zhuanzhuan</x:v>
      </x:c>
      <x:c r="C61" s="4" t="str">
        <x:v>Black Cat Complaints</x:v>
      </x:c>
      <x:c r="D61" s="4" t="str">
        <x:v>2026-03-18</x:v>
      </x:c>
      <x:c r="E61" s="4" t="str">
        <x:v>The estimate was RMB710 and the at-home offer RMB616. The user said the inspector had not explained the discrepancy beforehand.</x:v>
      </x:c>
      <x:c r="F61" s="4" t="str">
        <x:v>At-home inspection</x:v>
      </x:c>
      <x:c r="G61" s="4" t="str">
        <x:v>Negative</x:v>
      </x:c>
      <x:c r="H61" s="4" t="str">
        <x:v>Insufficient explanation of price changes</x:v>
      </x:c>
      <x:c r="I61" s="4" t="str">
        <x:v>Complained after sale</x:v>
      </x:c>
      <x:c r="J61" s="4" t="e">
        <x:f>HYPERLINK("https://tousu.sina.com.cn/complaint/view/17394767935?sld=aafefc26c5efda06473099eb9a2fb086","https://tousu.sina.com.cn/complaint/view/17394767935?sld=aafefc26c5efda06473099eb9a2fb086")</x:f>
        <x:v>HYPERLINK is not implemented. linkLocation=https://tousu.sina.com.cn/complaint/view/17394767935?sld=aafefc26c5efda06473099eb9a2fb086, friendlyName=https://tousu.sina.com.cn/complaint/view/17394767935?sld=aafefc26c5efda06473099eb9a2fb086</x:v>
      </x:c>
      <x:c r="K61" s="4" t="str">
        <x:v>Complainant account; not independently verified</x:v>
      </x:c>
    </x:row>
  </x:sheetData>
  <x:pageMargins left="0.7" right="0.7" top="0.75" bottom="0.75" header="0.3" footer="0.3"/>
</x:worksheet>
</file>